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ditya\eco\project\Vehicle-Recommendation-engine\data\raw\"/>
    </mc:Choice>
  </mc:AlternateContent>
  <xr:revisionPtr revIDLastSave="0" documentId="8_{A2E48399-407B-4FD3-9EA6-0054008DAF19}" xr6:coauthVersionLast="47" xr6:coauthVersionMax="47" xr10:uidLastSave="{00000000-0000-0000-0000-000000000000}"/>
  <bookViews>
    <workbookView xWindow="-120" yWindow="-120" windowWidth="29040" windowHeight="15720" xr2:uid="{0D0EC75D-4EDE-4723-9D9C-FCAABE95211A}"/>
  </bookViews>
  <sheets>
    <sheet name="Sheet1" sheetId="1" r:id="rId1"/>
  </sheets>
  <externalReferences>
    <externalReference r:id="rId2"/>
  </externalReferences>
  <definedNames>
    <definedName name="FuelSpec_BD_CContent">[1]Fuel_Specs!$F$40</definedName>
    <definedName name="FuelSpec_MeOH_Density">[1]Fuel_Specs!$E$31</definedName>
    <definedName name="Grid_AER">[1]Inputs!$F$986</definedName>
    <definedName name="Grid_ChargerEfficiency">[1]Inputs!$E$989</definedName>
    <definedName name="Grid_VMT_AER">[1]Car_TS!$U$644:$X$644</definedName>
    <definedName name="lb2g">[1]Fuel_Specs!$E$192</definedName>
    <definedName name="NG_CNG_FeedstockShare">[1]Inputs!$F$122</definedName>
    <definedName name="NG_LNG_FeedstockShare">[1]Inputs!$H$122</definedName>
    <definedName name="NG_LPG_FeedstockShare">[1]Inputs!$G$122</definedName>
    <definedName name="Veh_Type_Option">[1]Inputs!$E$16</definedName>
    <definedName name="Vehicles_GCFCV_GridOperation_Hydrogen_Car_EC">[1]Inputs!$BT$1347:$BT$1350</definedName>
    <definedName name="Vehicles_GCFCV_GridOperation_Hydrogen_Car_FE">[1]Inputs!$BR$1347:$BR$1350</definedName>
    <definedName name="Vehicles_GCFCV_GridOperation_Hydrogen_LDT1_EC">[1]Inputs!$BT$1355:$BT$1358</definedName>
    <definedName name="Vehicles_GCFCV_GridOperation_Hydrogen_LDT1_FE">[1]Inputs!$BR$1355:$BR$1358</definedName>
    <definedName name="Vehicles_GCFCV_GridOperation_Hydrogen_LDT2_EC">[1]Inputs!$BT$1363:$BT$1366</definedName>
    <definedName name="Vehicles_GCFCV_GridOperation_Hydrogen_LDT2_FE">[1]Inputs!$BR$1363:$BR$1366</definedName>
    <definedName name="Vehicles_GCHEV_GridOperation_BD_Car_EC">[1]Inputs!$BH$1347:$BH$1350</definedName>
    <definedName name="Vehicles_GCHEV_GridOperation_BD_Car_FE">[1]Inputs!$BF$1347:$BF$1350</definedName>
    <definedName name="Vehicles_GCHEV_GridOperation_BD_LDT1_EC">[1]Inputs!$BH$1355:$BH$1358</definedName>
    <definedName name="Vehicles_GCHEV_GridOperation_BD_LDT1_FE">[1]Inputs!$BF$1355:$BF$1358</definedName>
    <definedName name="Vehicles_GCHEV_GridOperation_BD_LDT2_EC">[1]Inputs!$BH$1363:$BH$1366</definedName>
    <definedName name="Vehicles_GCHEV_GridOperation_BD_LDT2_FE">[1]Inputs!$BF$1363:$BF$1366</definedName>
    <definedName name="Vehicles_GCHEV_GridOperation_CARFG_Car_EC">[1]Inputs!$L$1347:$L$1350</definedName>
    <definedName name="Vehicles_GCHEV_GridOperation_CARFG_Car_FE">[1]Inputs!$J$1347:$J$1350</definedName>
    <definedName name="Vehicles_GCHEV_GridOperation_CARFG_LDT1_EC">[1]Inputs!$L$1355:$L$1358</definedName>
    <definedName name="Vehicles_GCHEV_GridOperation_CARFG_LDT1_FE">[1]Inputs!$J$1355:$J$1358</definedName>
    <definedName name="Vehicles_GCHEV_GridOperation_CARFG_LDT2_EC">[1]Inputs!$L$1363:$L$1366</definedName>
    <definedName name="Vehicles_GCHEV_GridOperation_CARFG_LDT2_FE">[1]Inputs!$J$1363:$J$1366</definedName>
    <definedName name="Vehicles_GCHEV_GridOperation_CDnLSD_Car_EC">[1]Inputs!$AV$1347:$AV$1350</definedName>
    <definedName name="Vehicles_GCHEV_GridOperation_CDnLSD_Car_FE">[1]Inputs!$AT$1347:$AT$1350</definedName>
    <definedName name="Vehicles_GCHEV_GridOperation_CDnLSD_LDT1_EC">[1]Inputs!$AV$1355:$AV$1358</definedName>
    <definedName name="Vehicles_GCHEV_GridOperation_CDnLSD_LDT1_FE">[1]Inputs!$AT$1355:$AT$1358</definedName>
    <definedName name="Vehicles_GCHEV_GridOperation_CDnLSD_LDT2_EC">[1]Inputs!$AV$1363:$AV$1366</definedName>
    <definedName name="Vehicles_GCHEV_GridOperation_CDnLSD_LDT2_FE">[1]Inputs!$AT$1363:$AT$1366</definedName>
    <definedName name="Vehicles_GCHEV_GridOperation_CGnFRFG_Car_EC">[1]Inputs!$H$1347:$H$1350</definedName>
    <definedName name="Vehicles_GCHEV_GridOperation_CGnFRFG_Car_FE">[1]Inputs!$F$1347:$F$1350</definedName>
    <definedName name="Vehicles_GCHEV_GridOperation_CGnFRFG_LDT1_EC">[1]Inputs!$H$1355:$H$1358</definedName>
    <definedName name="Vehicles_GCHEV_GridOperation_CGnFRFG_LDT1_FE">[1]Inputs!$F$1355:$F$1358</definedName>
    <definedName name="Vehicles_GCHEV_GridOperation_CGnFRFG_LDT2_EC">[1]Inputs!$H$1363:$H$1366</definedName>
    <definedName name="Vehicles_GCHEV_GridOperation_CGnFRFG_LDT2_FE">[1]Inputs!$F$1363:$F$1366</definedName>
    <definedName name="Vehicles_GCHEV_GridOperation_CNG_Car_EC">[1]Inputs!$X$1347:$X$1350</definedName>
    <definedName name="Vehicles_GCHEV_GridOperation_CNG_Car_FE">[1]Inputs!$V$1347:$V$1350</definedName>
    <definedName name="Vehicles_GCHEV_GridOperation_CNG_LDT1_EC">[1]Inputs!$X$1355:$X$1358</definedName>
    <definedName name="Vehicles_GCHEV_GridOperation_CNG_LDT1_FE">[1]Inputs!$V$1355:$V$1358</definedName>
    <definedName name="Vehicles_GCHEV_GridOperation_CNG_LDT2_EC">[1]Inputs!$X$1363:$X$1366</definedName>
    <definedName name="Vehicles_GCHEV_GridOperation_CNG_LDT2_FE">[1]Inputs!$V$1363:$V$1366</definedName>
    <definedName name="Vehicles_GCHEV_GridOperation_DME_Car_EC">[1]Inputs!$AZ$1347:$AZ$1350</definedName>
    <definedName name="Vehicles_GCHEV_GridOperation_DME_Car_FE">[1]Inputs!$AX$1347:$AX$1350</definedName>
    <definedName name="Vehicles_GCHEV_GridOperation_DME_LDT1_EC">[1]Inputs!$AZ$1355:$AZ$1358</definedName>
    <definedName name="Vehicles_GCHEV_GridOperation_DME_LDT1_FE">[1]Inputs!$AX$1355:$AX$1358</definedName>
    <definedName name="Vehicles_GCHEV_GridOperation_DME_LDT2_EC">[1]Inputs!$AZ$1363:$AZ$1366</definedName>
    <definedName name="Vehicles_GCHEV_GridOperation_DME_LDT2_FE">[1]Inputs!$AX$1363:$AX$1366</definedName>
    <definedName name="Vehicles_GCHEV_GridOperation_ED_Car_EC">[1]Inputs!$BP$1347:$BP$1350</definedName>
    <definedName name="Vehicles_GCHEV_GridOperation_ED_Car_FE">[1]Inputs!$BN$1347:$BN$1350</definedName>
    <definedName name="Vehicles_GCHEV_GridOperation_ED_LDT1_EC">[1]Inputs!$BP$1355:$BP$1358</definedName>
    <definedName name="Vehicles_GCHEV_GridOperation_ED_LDT1_FE">[1]Inputs!$BN$1355:$BN$1358</definedName>
    <definedName name="Vehicles_GCHEV_GridOperation_ED_LDT2_EC">[1]Inputs!$BP$1363:$BP$1366</definedName>
    <definedName name="Vehicles_GCHEV_GridOperation_ED_LDT2_FE">[1]Inputs!$BN$1363:$BN$1366</definedName>
    <definedName name="Vehicles_GCHEV_GridOperation_EtOH_Car_EC">[1]Inputs!$AN$1347:$AN$1350</definedName>
    <definedName name="Vehicles_GCHEV_GridOperation_EtOH_Car_FE">[1]Inputs!$AL$1347:$AL$1350</definedName>
    <definedName name="Vehicles_GCHEV_GridOperation_EtOH_LDT1_EC">[1]Inputs!$AN$1355:$AN$1358</definedName>
    <definedName name="Vehicles_GCHEV_GridOperation_EtOH_LDT1_FE">[1]Inputs!$AL$1355:$AL$1358</definedName>
    <definedName name="Vehicles_GCHEV_GridOperation_EtOH_LDT2_EC">[1]Inputs!$AN$1363:$AN$1366</definedName>
    <definedName name="Vehicles_GCHEV_GridOperation_EtOH_LDT2_FE">[1]Inputs!$AL$1363:$AL$1366</definedName>
    <definedName name="Vehicles_GCHEV_GridOperation_EtOH_LLBlend_Car_EC">[1]Inputs!$T$1347:$T$1350</definedName>
    <definedName name="Vehicles_GCHEV_GridOperation_EtOH_LLBlend_Car_FE">[1]Inputs!$R$1347:$R$1350</definedName>
    <definedName name="Vehicles_GCHEV_GridOperation_EtOH_LLBlend_LDT1_EC">[1]Inputs!$T$1355:$T$1358</definedName>
    <definedName name="Vehicles_GCHEV_GridOperation_EtOH_LLBlend_LDT1_FE">[1]Inputs!$R$1355:$R$1358</definedName>
    <definedName name="Vehicles_GCHEV_GridOperation_EtOH_LLBlend_LDT2_EC">[1]Inputs!$T$1363:$T$1366</definedName>
    <definedName name="Vehicles_GCHEV_GridOperation_EtOH_LLBlend_LDT2_FE">[1]Inputs!$R$1363:$R$1366</definedName>
    <definedName name="Vehicles_GCHEV_GridOperation_FTD_Car_EC">[1]Inputs!$BD$1347:$BD$1350</definedName>
    <definedName name="Vehicles_GCHEV_GridOperation_FTD_Car_FE">[1]Inputs!$BB$1347:$BB$1350</definedName>
    <definedName name="Vehicles_GCHEV_GridOperation_FTD_LDT1_EC">[1]Inputs!$BD$1355:$BD$1358</definedName>
    <definedName name="Vehicles_GCHEV_GridOperation_FTD_LDT1_FE">[1]Inputs!$BB$1355:$BB$1358</definedName>
    <definedName name="Vehicles_GCHEV_GridOperation_FTD_LDT2_EC">[1]Inputs!$BD$1363:$BD$1366</definedName>
    <definedName name="Vehicles_GCHEV_GridOperation_FTD_LDT2_FE">[1]Inputs!$BB$1363:$BB$1366</definedName>
    <definedName name="Vehicles_GCHEV_GridOperation_Hydrogen_Car_EC">[1]Inputs!$AR$1347:$AR$1350</definedName>
    <definedName name="Vehicles_GCHEV_GridOperation_Hydrogen_Car_FE">[1]Inputs!$AP$1347:$AP$1350</definedName>
    <definedName name="Vehicles_GCHEV_GridOperation_Hydrogen_LDT1_EC">[1]Inputs!$AR$1355:$AR$1358</definedName>
    <definedName name="Vehicles_GCHEV_GridOperation_Hydrogen_LDT1_FE">[1]Inputs!$AP$1355:$AP$1358</definedName>
    <definedName name="Vehicles_GCHEV_GridOperation_Hydrogen_LDT2_EC">[1]Inputs!$AR$1363:$AR$1366</definedName>
    <definedName name="Vehicles_GCHEV_GridOperation_Hydrogen_LDT2_FE">[1]Inputs!$AP$1363:$AP$1366</definedName>
    <definedName name="Vehicles_GCHEV_GridOperation_LNG_Car_EC">[1]Inputs!$AB$1347:$AB$1350</definedName>
    <definedName name="Vehicles_GCHEV_GridOperation_LNG_Car_FE">[1]Inputs!$Z$1347:$Z$1350</definedName>
    <definedName name="Vehicles_GCHEV_GridOperation_LNG_LDT1_EC">[1]Inputs!$AB$1355:$AB$1358</definedName>
    <definedName name="Vehicles_GCHEV_GridOperation_LNG_LDT1_FE">[1]Inputs!$Z$1355:$Z$1358</definedName>
    <definedName name="Vehicles_GCHEV_GridOperation_LNG_LDT2_EC">[1]Inputs!$AB$1363:$AB$1366</definedName>
    <definedName name="Vehicles_GCHEV_GridOperation_LNG_LDT2_FE">[1]Inputs!$Z$1363:$Z$1366</definedName>
    <definedName name="Vehicles_GCHEV_GridOperation_LPG_Car_EC">[1]Inputs!$AF$1347:$AF$1350</definedName>
    <definedName name="Vehicles_GCHEV_GridOperation_LPG_Car_FE">[1]Inputs!$AD$1347:$AD$1350</definedName>
    <definedName name="Vehicles_GCHEV_GridOperation_LPG_LDT1_EC">[1]Inputs!$AF$1355:$AF$1358</definedName>
    <definedName name="Vehicles_GCHEV_GridOperation_LPG_LDT1_FE">[1]Inputs!$AD$1355:$AD$1358</definedName>
    <definedName name="Vehicles_GCHEV_GridOperation_LPG_LDT2_EC">[1]Inputs!$AF$1363:$AF$1366</definedName>
    <definedName name="Vehicles_GCHEV_GridOperation_LPG_LDT2_FE">[1]Inputs!$AD$1363:$AD$1366</definedName>
    <definedName name="Vehicles_GCHEV_GridOperation_MeOH_Car_EC">[1]Inputs!$AJ$1347:$AJ$1350</definedName>
    <definedName name="Vehicles_GCHEV_GridOperation_MeOH_Car_FE">[1]Inputs!$AH$1347:$AH$1350</definedName>
    <definedName name="Vehicles_GCHEV_GridOperation_MeOH_LDT1_EC">[1]Inputs!$AJ$1355:$AJ$1358</definedName>
    <definedName name="Vehicles_GCHEV_GridOperation_MeOH_LDT1_FE">[1]Inputs!$AH$1355:$AH$1358</definedName>
    <definedName name="Vehicles_GCHEV_GridOperation_MeOH_LDT2_EC">[1]Inputs!$AJ$1363:$AJ$1366</definedName>
    <definedName name="Vehicles_GCHEV_GridOperation_MeOH_LDT2_FE">[1]Inputs!$AH$1363:$AH$1366</definedName>
    <definedName name="Vehicles_GCHEV_GridOperation_RD_Car_EC">[1]Inputs!$BL$1347:$BL$1350</definedName>
    <definedName name="Vehicles_GCHEV_GridOperation_RD_Car_FE">[1]Inputs!$BJ$1347:$BJ$1350</definedName>
    <definedName name="Vehicles_GCHEV_GridOperation_RD_LDT1_EC">[1]Inputs!$BL$1355:$BL$1358</definedName>
    <definedName name="Vehicles_GCHEV_GridOperation_RD_LDT1_FE">[1]Inputs!$BJ$1355:$BJ$1358</definedName>
    <definedName name="Vehicles_GCHEV_GridOperation_RD_LDT2_EC">[1]Inputs!$BL$1363:$BL$1366</definedName>
    <definedName name="Vehicles_GCHEV_GridOperation_RD_LDT2_FE">[1]Inputs!$BJ$1363:$BJ$1366</definedName>
    <definedName name="Vehicles_GCHEV_GridOperation_RG_Car_EC">[1]Inputs!$P$1347:$P$1350</definedName>
    <definedName name="Vehicles_GCHEV_GridOperation_RG_Car_FE">[1]Inputs!$N$1347:$N$1350</definedName>
    <definedName name="Vehicles_GCHEV_GridOperation_RG_LDT1_EC">[1]Inputs!$P$1355:$P$1358</definedName>
    <definedName name="Vehicles_GCHEV_GridOperation_RG_LDT1_FE">[1]Inputs!$N$1355:$N$1358</definedName>
    <definedName name="Vehicles_GCHEV_GridOperation_RG_LDT2_EC">[1]Inputs!$P$1363:$P$1366</definedName>
    <definedName name="Vehicles_GCHEV_GridOperation_RG_LDT2_FE">[1]Inputs!$N$1363:$N$1366</definedName>
    <definedName name="Wh2BTU">[1]Fuel_Specs!$E$211</definedName>
  </definedName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V26" i="1" l="1"/>
  <c r="DU26" i="1"/>
  <c r="DT26" i="1"/>
  <c r="BT26" i="1"/>
  <c r="BQ26" i="1"/>
  <c r="BP26" i="1"/>
  <c r="BM26" i="1"/>
  <c r="BL26" i="1"/>
  <c r="BI26" i="1"/>
  <c r="AN26" i="1"/>
  <c r="AM26" i="1"/>
  <c r="AL26" i="1"/>
  <c r="H26" i="1"/>
  <c r="G26" i="1"/>
  <c r="F26" i="1"/>
  <c r="E26" i="1"/>
  <c r="DX23" i="1"/>
  <c r="CC23" i="1"/>
  <c r="ED22" i="1"/>
  <c r="EA22" i="1"/>
  <c r="DY22" i="1"/>
  <c r="DW22" i="1"/>
  <c r="DS22" i="1"/>
  <c r="DR22" i="1"/>
  <c r="DQ22" i="1"/>
  <c r="DN22" i="1"/>
  <c r="DL22" i="1"/>
  <c r="DA22" i="1"/>
  <c r="CS22" i="1"/>
  <c r="CM22" i="1"/>
  <c r="CL22" i="1"/>
  <c r="CB22" i="1"/>
  <c r="BV22" i="1"/>
  <c r="BR22" i="1"/>
  <c r="BP22" i="1"/>
  <c r="BN22" i="1"/>
  <c r="BJ22" i="1"/>
  <c r="BF22" i="1"/>
  <c r="BC22" i="1"/>
  <c r="AY22" i="1"/>
  <c r="AU22" i="1"/>
  <c r="AS22" i="1" s="1"/>
  <c r="AT22" i="1"/>
  <c r="AR22" i="1"/>
  <c r="AQ22" i="1"/>
  <c r="AP22" i="1"/>
  <c r="AL22" i="1"/>
  <c r="AI22" i="1"/>
  <c r="AA22" i="1"/>
  <c r="Z22" i="1"/>
  <c r="Y22" i="1"/>
  <c r="V22" i="1"/>
  <c r="T22" i="1"/>
  <c r="R22" i="1"/>
  <c r="O22" i="1"/>
  <c r="N22" i="1"/>
  <c r="K22" i="1"/>
  <c r="J22" i="1"/>
  <c r="I22" i="1"/>
  <c r="G22" i="1"/>
  <c r="C22" i="1"/>
  <c r="B22" i="1"/>
  <c r="DV22" i="1" s="1"/>
  <c r="EE21" i="1"/>
  <c r="EC21" i="1"/>
  <c r="EB21" i="1"/>
  <c r="EA21" i="1"/>
  <c r="DY21" i="1"/>
  <c r="DU21" i="1"/>
  <c r="DT21" i="1"/>
  <c r="DS21" i="1"/>
  <c r="DQ21" i="1"/>
  <c r="DP21" i="1"/>
  <c r="DO21" i="1"/>
  <c r="DN21" i="1"/>
  <c r="DM21" i="1"/>
  <c r="DL21" i="1"/>
  <c r="DI21" i="1"/>
  <c r="DG21" i="1"/>
  <c r="DE21" i="1"/>
  <c r="DA21" i="1"/>
  <c r="CW21" i="1"/>
  <c r="CS21" i="1"/>
  <c r="CQ21" i="1"/>
  <c r="CO21" i="1"/>
  <c r="CK21" i="1"/>
  <c r="CG21" i="1"/>
  <c r="CF21" i="1"/>
  <c r="CD21" i="1"/>
  <c r="CB21" i="1"/>
  <c r="BX21" i="1"/>
  <c r="BT21" i="1"/>
  <c r="BR21" i="1"/>
  <c r="BP21" i="1"/>
  <c r="BL21" i="1"/>
  <c r="BH21" i="1"/>
  <c r="BF21" i="1"/>
  <c r="BD21" i="1"/>
  <c r="AZ21" i="1"/>
  <c r="AY21" i="1"/>
  <c r="AV21" i="1"/>
  <c r="AU21" i="1"/>
  <c r="AS21" i="1" s="1"/>
  <c r="AT21" i="1"/>
  <c r="AR21" i="1"/>
  <c r="AO21" i="1"/>
  <c r="AN21" i="1"/>
  <c r="AM21" i="1"/>
  <c r="AK21" i="1"/>
  <c r="AJ21" i="1"/>
  <c r="AI21" i="1"/>
  <c r="AH21" i="1"/>
  <c r="AG21" i="1"/>
  <c r="AF21" i="1"/>
  <c r="AB21" i="1"/>
  <c r="AA21" i="1"/>
  <c r="CJ21" i="1" s="1"/>
  <c r="Y21" i="1"/>
  <c r="X21" i="1"/>
  <c r="W21" i="1"/>
  <c r="V21" i="1"/>
  <c r="U21" i="1"/>
  <c r="T21" i="1"/>
  <c r="Q21" i="1"/>
  <c r="P21" i="1"/>
  <c r="O21" i="1"/>
  <c r="M21" i="1"/>
  <c r="L21" i="1"/>
  <c r="K21" i="1"/>
  <c r="J21" i="1"/>
  <c r="I21" i="1"/>
  <c r="H21" i="1"/>
  <c r="E21" i="1"/>
  <c r="D21" i="1"/>
  <c r="C21" i="1"/>
  <c r="B21" i="1"/>
  <c r="DW21" i="1" s="1"/>
  <c r="EE20" i="1"/>
  <c r="ED20" i="1"/>
  <c r="EB20" i="1"/>
  <c r="DT20" i="1"/>
  <c r="DR20" i="1"/>
  <c r="DQ20" i="1"/>
  <c r="DP20" i="1"/>
  <c r="DG20" i="1"/>
  <c r="DC20" i="1"/>
  <c r="CM20" i="1"/>
  <c r="CL20" i="1"/>
  <c r="CJ20" i="1"/>
  <c r="CH20" i="1"/>
  <c r="CD20" i="1"/>
  <c r="BZ20" i="1"/>
  <c r="BX20" i="1"/>
  <c r="BT20" i="1"/>
  <c r="BN20" i="1"/>
  <c r="BL20" i="1"/>
  <c r="BJ20" i="1"/>
  <c r="BF20" i="1"/>
  <c r="AZ20" i="1"/>
  <c r="AX20" i="1"/>
  <c r="AV20" i="1"/>
  <c r="AP20" i="1"/>
  <c r="AL20" i="1"/>
  <c r="AJ20" i="1"/>
  <c r="AI20" i="1"/>
  <c r="AH20" i="1"/>
  <c r="AD20" i="1"/>
  <c r="AC20" i="1"/>
  <c r="AB20" i="1"/>
  <c r="AA20" i="1"/>
  <c r="CQ20" i="1" s="1"/>
  <c r="X20" i="1"/>
  <c r="V20" i="1"/>
  <c r="S20" i="1"/>
  <c r="R20" i="1"/>
  <c r="N20" i="1"/>
  <c r="J20" i="1"/>
  <c r="F20" i="1"/>
  <c r="E20" i="1"/>
  <c r="D20" i="1"/>
  <c r="B20" i="1"/>
  <c r="EA20" i="1" s="1"/>
  <c r="DV19" i="1"/>
  <c r="DU19" i="1"/>
  <c r="DT19" i="1"/>
  <c r="DG19" i="1"/>
  <c r="CS19" i="1"/>
  <c r="CL19" i="1"/>
  <c r="CH19" i="1"/>
  <c r="CF19" i="1"/>
  <c r="CB19" i="1"/>
  <c r="BT19" i="1"/>
  <c r="BP19" i="1"/>
  <c r="BN19" i="1"/>
  <c r="BD19" i="1"/>
  <c r="BB19" i="1"/>
  <c r="AZ19" i="1"/>
  <c r="AP19" i="1"/>
  <c r="AN19" i="1"/>
  <c r="AM19" i="1"/>
  <c r="AL19" i="1"/>
  <c r="AF19" i="1"/>
  <c r="AD19" i="1"/>
  <c r="AC19" i="1"/>
  <c r="AB19" i="1"/>
  <c r="AA19" i="1"/>
  <c r="Z19" i="1"/>
  <c r="Y19" i="1"/>
  <c r="X19" i="1"/>
  <c r="N19" i="1"/>
  <c r="L19" i="1"/>
  <c r="I19" i="1"/>
  <c r="H19" i="1"/>
  <c r="B19" i="1"/>
  <c r="DY19" i="1" s="1"/>
  <c r="DX18" i="1"/>
  <c r="CC18" i="1"/>
  <c r="EB17" i="1"/>
  <c r="DW17" i="1"/>
  <c r="DV17" i="1"/>
  <c r="DP17" i="1"/>
  <c r="DN17" i="1"/>
  <c r="DL17" i="1"/>
  <c r="DK17" i="1"/>
  <c r="CY17" i="1"/>
  <c r="CM17" i="1"/>
  <c r="CL17" i="1"/>
  <c r="CH17" i="1"/>
  <c r="CF17" i="1"/>
  <c r="CD17" i="1"/>
  <c r="CB17" i="1"/>
  <c r="BZ17" i="1"/>
  <c r="BT17" i="1"/>
  <c r="BR17" i="1"/>
  <c r="BP17" i="1"/>
  <c r="BN17" i="1"/>
  <c r="BH17" i="1"/>
  <c r="BF17" i="1"/>
  <c r="BD17" i="1"/>
  <c r="BC17" i="1"/>
  <c r="BA17" i="1" s="1"/>
  <c r="BB17" i="1"/>
  <c r="AV17" i="1"/>
  <c r="AT17" i="1"/>
  <c r="AR17" i="1"/>
  <c r="AQ17" i="1"/>
  <c r="AP17" i="1"/>
  <c r="AJ17" i="1"/>
  <c r="AH17" i="1"/>
  <c r="AF17" i="1"/>
  <c r="AE17" i="1"/>
  <c r="AD17" i="1"/>
  <c r="AB17" i="1"/>
  <c r="AA17" i="1"/>
  <c r="CK17" i="1" s="1"/>
  <c r="X17" i="1"/>
  <c r="V17" i="1"/>
  <c r="T17" i="1"/>
  <c r="S17" i="1"/>
  <c r="R17" i="1"/>
  <c r="L17" i="1"/>
  <c r="J17" i="1"/>
  <c r="H17" i="1"/>
  <c r="G17" i="1"/>
  <c r="F17" i="1"/>
  <c r="B17" i="1"/>
  <c r="DU17" i="1" s="1"/>
  <c r="EB16" i="1"/>
  <c r="DY16" i="1"/>
  <c r="DT16" i="1"/>
  <c r="DE16" i="1"/>
  <c r="CJ16" i="1"/>
  <c r="CH16" i="1"/>
  <c r="CG16" i="1"/>
  <c r="CF16" i="1"/>
  <c r="BP16" i="1"/>
  <c r="BL16" i="1"/>
  <c r="BJ16" i="1"/>
  <c r="AV16" i="1"/>
  <c r="AT16" i="1"/>
  <c r="AG16" i="1"/>
  <c r="AF16" i="1"/>
  <c r="AB16" i="1"/>
  <c r="AA16" i="1"/>
  <c r="DK16" i="1" s="1"/>
  <c r="Z16" i="1"/>
  <c r="Y16" i="1"/>
  <c r="X16" i="1"/>
  <c r="N16" i="1"/>
  <c r="M16" i="1"/>
  <c r="L16" i="1"/>
  <c r="K16" i="1"/>
  <c r="B16" i="1"/>
  <c r="DR15" i="1"/>
  <c r="DQ15" i="1"/>
  <c r="DG15" i="1"/>
  <c r="DE15" i="1"/>
  <c r="CG15" i="1"/>
  <c r="BX15" i="1"/>
  <c r="BV15" i="1"/>
  <c r="AZ15" i="1"/>
  <c r="AY15" i="1"/>
  <c r="AX15" i="1"/>
  <c r="AW15" i="1"/>
  <c r="AO15" i="1"/>
  <c r="AN15" i="1"/>
  <c r="AK15" i="1"/>
  <c r="AA15" i="1"/>
  <c r="CH15" i="1" s="1"/>
  <c r="Z15" i="1"/>
  <c r="Y15" i="1"/>
  <c r="Q15" i="1"/>
  <c r="P15" i="1"/>
  <c r="O15" i="1"/>
  <c r="N15" i="1"/>
  <c r="D15" i="1"/>
  <c r="B15" i="1"/>
  <c r="DS15" i="1" s="1"/>
  <c r="EE14" i="1"/>
  <c r="DW14" i="1"/>
  <c r="DV14" i="1"/>
  <c r="DU14" i="1"/>
  <c r="DT14" i="1"/>
  <c r="DS14" i="1"/>
  <c r="DK14" i="1"/>
  <c r="DI14" i="1"/>
  <c r="CW14" i="1"/>
  <c r="CU14" i="1"/>
  <c r="CM14" i="1"/>
  <c r="CL14" i="1"/>
  <c r="CK14" i="1"/>
  <c r="BZ14" i="1"/>
  <c r="BX14" i="1"/>
  <c r="BN14" i="1"/>
  <c r="BL14" i="1"/>
  <c r="BC14" i="1"/>
  <c r="BB14" i="1"/>
  <c r="BA14" i="1"/>
  <c r="AZ14" i="1"/>
  <c r="AY14" i="1"/>
  <c r="AQ14" i="1"/>
  <c r="AP14" i="1"/>
  <c r="AO14" i="1"/>
  <c r="AN14" i="1"/>
  <c r="AM14" i="1"/>
  <c r="AE14" i="1"/>
  <c r="AD14" i="1"/>
  <c r="AA14" i="1"/>
  <c r="DG14" i="1" s="1"/>
  <c r="S14" i="1"/>
  <c r="R14" i="1"/>
  <c r="Q14" i="1"/>
  <c r="P14" i="1"/>
  <c r="O14" i="1"/>
  <c r="G14" i="1"/>
  <c r="F14" i="1"/>
  <c r="E14" i="1"/>
  <c r="D14" i="1"/>
  <c r="C14" i="1"/>
  <c r="B14" i="1"/>
  <c r="ED14" i="1" s="1"/>
  <c r="DY13" i="1"/>
  <c r="DW13" i="1"/>
  <c r="DV13" i="1"/>
  <c r="DU13" i="1"/>
  <c r="DM13" i="1"/>
  <c r="DL13" i="1"/>
  <c r="DK13" i="1"/>
  <c r="DI13" i="1"/>
  <c r="DA13" i="1"/>
  <c r="CY13" i="1"/>
  <c r="CW13" i="1"/>
  <c r="CO13" i="1"/>
  <c r="CM13" i="1"/>
  <c r="CL13" i="1"/>
  <c r="CK13" i="1"/>
  <c r="CJ13" i="1"/>
  <c r="CB13" i="1"/>
  <c r="BZ13" i="1"/>
  <c r="BX13" i="1"/>
  <c r="BP13" i="1"/>
  <c r="BN13" i="1"/>
  <c r="BL13" i="1"/>
  <c r="BD13" i="1"/>
  <c r="BC13" i="1"/>
  <c r="BA13" i="1" s="1"/>
  <c r="BB13" i="1"/>
  <c r="AZ13" i="1"/>
  <c r="AR13" i="1"/>
  <c r="AQ13" i="1"/>
  <c r="AP13" i="1"/>
  <c r="AO13" i="1"/>
  <c r="AN13" i="1"/>
  <c r="AG13" i="1"/>
  <c r="AF13" i="1"/>
  <c r="AE13" i="1"/>
  <c r="AD13" i="1"/>
  <c r="AC13" i="1"/>
  <c r="AB13" i="1"/>
  <c r="AA13" i="1"/>
  <c r="DG13" i="1" s="1"/>
  <c r="U13" i="1"/>
  <c r="T13" i="1"/>
  <c r="S13" i="1"/>
  <c r="R13" i="1"/>
  <c r="Q13" i="1"/>
  <c r="P13" i="1"/>
  <c r="I13" i="1"/>
  <c r="H13" i="1"/>
  <c r="G13" i="1"/>
  <c r="F13" i="1"/>
  <c r="E13" i="1"/>
  <c r="D13" i="1"/>
  <c r="B13" i="1"/>
  <c r="DT13" i="1" s="1"/>
  <c r="EA12" i="1"/>
  <c r="DY12" i="1"/>
  <c r="DW12" i="1"/>
  <c r="DO12" i="1"/>
  <c r="DN12" i="1"/>
  <c r="DM12" i="1"/>
  <c r="DL12" i="1"/>
  <c r="DK12" i="1"/>
  <c r="DC12" i="1"/>
  <c r="DA12" i="1"/>
  <c r="CY12" i="1"/>
  <c r="CQ12" i="1"/>
  <c r="CO12" i="1"/>
  <c r="CM12" i="1"/>
  <c r="CD12" i="1"/>
  <c r="CB12" i="1"/>
  <c r="BR12" i="1"/>
  <c r="BP12" i="1"/>
  <c r="BF12" i="1"/>
  <c r="BD12" i="1"/>
  <c r="BC12" i="1"/>
  <c r="AU12" i="1"/>
  <c r="AT12" i="1"/>
  <c r="AS12" i="1"/>
  <c r="AR12" i="1"/>
  <c r="AQ12" i="1"/>
  <c r="AP12" i="1"/>
  <c r="AI12" i="1"/>
  <c r="AH12" i="1"/>
  <c r="AG12" i="1"/>
  <c r="AF12" i="1"/>
  <c r="AE12" i="1"/>
  <c r="AD12" i="1"/>
  <c r="AA12" i="1"/>
  <c r="CL12" i="1" s="1"/>
  <c r="W12" i="1"/>
  <c r="V12" i="1"/>
  <c r="U12" i="1"/>
  <c r="T12" i="1"/>
  <c r="S12" i="1"/>
  <c r="R12" i="1"/>
  <c r="O12" i="1"/>
  <c r="K12" i="1"/>
  <c r="J12" i="1"/>
  <c r="I12" i="1"/>
  <c r="H12" i="1"/>
  <c r="G12" i="1"/>
  <c r="F12" i="1"/>
  <c r="C12" i="1"/>
  <c r="B12" i="1"/>
  <c r="DV12" i="1" s="1"/>
  <c r="EC11" i="1"/>
  <c r="EB11" i="1"/>
  <c r="EA11" i="1"/>
  <c r="DY11" i="1"/>
  <c r="DQ11" i="1"/>
  <c r="DP11" i="1"/>
  <c r="DO11" i="1"/>
  <c r="DN11" i="1"/>
  <c r="DM11" i="1"/>
  <c r="DE11" i="1"/>
  <c r="DC11" i="1"/>
  <c r="DA11" i="1"/>
  <c r="CS11" i="1"/>
  <c r="CQ11" i="1"/>
  <c r="CO11" i="1"/>
  <c r="CG11" i="1"/>
  <c r="CF11" i="1"/>
  <c r="CD11" i="1"/>
  <c r="BT11" i="1"/>
  <c r="BR11" i="1"/>
  <c r="BH11" i="1"/>
  <c r="BF11" i="1"/>
  <c r="AV11" i="1"/>
  <c r="AU11" i="1"/>
  <c r="AS11" i="1" s="1"/>
  <c r="AT11" i="1"/>
  <c r="AK11" i="1"/>
  <c r="AJ11" i="1"/>
  <c r="AI11" i="1"/>
  <c r="AH11" i="1"/>
  <c r="AG11" i="1"/>
  <c r="AA11" i="1"/>
  <c r="AF11" i="1" s="1"/>
  <c r="Y11" i="1"/>
  <c r="X11" i="1"/>
  <c r="W11" i="1"/>
  <c r="V11" i="1"/>
  <c r="U11" i="1"/>
  <c r="M11" i="1"/>
  <c r="L11" i="1"/>
  <c r="K11" i="1"/>
  <c r="J11" i="1"/>
  <c r="I11" i="1"/>
  <c r="C11" i="1"/>
  <c r="B11" i="1"/>
  <c r="DL11" i="1" s="1"/>
  <c r="ED10" i="1"/>
  <c r="EC10" i="1"/>
  <c r="EB10" i="1"/>
  <c r="DR10" i="1"/>
  <c r="CU10" i="1"/>
  <c r="BV10" i="1"/>
  <c r="AX10" i="1"/>
  <c r="AV10" i="1"/>
  <c r="AN10" i="1"/>
  <c r="AA10" i="1"/>
  <c r="Z10" i="1"/>
  <c r="W10" i="1"/>
  <c r="M10" i="1"/>
  <c r="L10" i="1"/>
  <c r="K10" i="1"/>
  <c r="H10" i="1"/>
  <c r="B10" i="1"/>
  <c r="CV9" i="1"/>
  <c r="DY8" i="1"/>
  <c r="DI8" i="1"/>
  <c r="DE8" i="1"/>
  <c r="DA8" i="1"/>
  <c r="CW8" i="1"/>
  <c r="CS8" i="1"/>
  <c r="CR8" i="1" s="1"/>
  <c r="CO8" i="1"/>
  <c r="CD8" i="1"/>
  <c r="BZ8" i="1"/>
  <c r="DS7" i="1"/>
  <c r="DY6" i="1"/>
  <c r="DI6" i="1"/>
  <c r="DH6" i="1" s="1"/>
  <c r="DE6" i="1"/>
  <c r="DD6" i="1"/>
  <c r="DA6" i="1"/>
  <c r="CZ6" i="1"/>
  <c r="CW6" i="1"/>
  <c r="CS6" i="1"/>
  <c r="CO6" i="1"/>
  <c r="CN6" i="1"/>
  <c r="CD6" i="1"/>
  <c r="BZ6" i="1"/>
  <c r="BY6" i="1"/>
  <c r="DY5" i="1"/>
  <c r="DI5" i="1"/>
  <c r="DI7" i="1" s="1"/>
  <c r="DE5" i="1"/>
  <c r="DE7" i="1" s="1"/>
  <c r="DA5" i="1"/>
  <c r="DA7" i="1" s="1"/>
  <c r="CW5" i="1"/>
  <c r="CW7" i="1" s="1"/>
  <c r="CS5" i="1"/>
  <c r="CS7" i="1" s="1"/>
  <c r="CO5" i="1"/>
  <c r="CO7" i="1" s="1"/>
  <c r="CD5" i="1"/>
  <c r="CD7" i="1" s="1"/>
  <c r="BZ5" i="1"/>
  <c r="BZ7" i="1" s="1"/>
  <c r="AM4" i="1"/>
  <c r="AM18" i="1" s="1"/>
  <c r="AI4" i="1"/>
  <c r="AI18" i="1" s="1"/>
  <c r="AA4" i="1"/>
  <c r="AA8" i="1" s="1"/>
  <c r="W4" i="1"/>
  <c r="W18" i="1" s="1"/>
  <c r="O4" i="1"/>
  <c r="O6" i="1" s="1"/>
  <c r="K4" i="1"/>
  <c r="C4" i="1"/>
  <c r="C18" i="1" s="1"/>
  <c r="B4" i="1"/>
  <c r="EE3" i="1"/>
  <c r="EE4" i="1" s="1"/>
  <c r="EC3" i="1"/>
  <c r="EC4" i="1" s="1"/>
  <c r="EB3" i="1"/>
  <c r="EB4" i="1" s="1"/>
  <c r="EA3" i="1"/>
  <c r="EA4" i="1" s="1"/>
  <c r="DW3" i="1"/>
  <c r="DW4" i="1" s="1"/>
  <c r="DU3" i="1"/>
  <c r="DU4" i="1" s="1"/>
  <c r="DT3" i="1"/>
  <c r="DT4" i="1" s="1"/>
  <c r="DS3" i="1"/>
  <c r="DS4" i="1" s="1"/>
  <c r="DQ3" i="1"/>
  <c r="DQ26" i="1" s="1"/>
  <c r="DP3" i="1"/>
  <c r="DP26" i="1" s="1"/>
  <c r="DO3" i="1"/>
  <c r="DO4" i="1" s="1"/>
  <c r="DM3" i="1"/>
  <c r="DM4" i="1" s="1"/>
  <c r="DL3" i="1"/>
  <c r="DL4" i="1" s="1"/>
  <c r="DK3" i="1"/>
  <c r="DK4" i="1" s="1"/>
  <c r="DG3" i="1"/>
  <c r="DG4" i="1" s="1"/>
  <c r="DC3" i="1"/>
  <c r="DC4" i="1" s="1"/>
  <c r="CY3" i="1"/>
  <c r="CY4" i="1" s="1"/>
  <c r="CU3" i="1"/>
  <c r="CU4" i="1" s="1"/>
  <c r="CQ3" i="1"/>
  <c r="CQ4" i="1" s="1"/>
  <c r="CM3" i="1"/>
  <c r="CM4" i="1" s="1"/>
  <c r="CK3" i="1"/>
  <c r="CK4" i="1" s="1"/>
  <c r="CJ3" i="1"/>
  <c r="CJ4" i="1" s="1"/>
  <c r="CI3" i="1"/>
  <c r="CI4" i="1" s="1"/>
  <c r="CG3" i="1"/>
  <c r="CG4" i="1" s="1"/>
  <c r="CF3" i="1"/>
  <c r="CF4" i="1" s="1"/>
  <c r="CB3" i="1"/>
  <c r="BX3" i="1"/>
  <c r="BU3" i="1"/>
  <c r="BU4" i="1" s="1"/>
  <c r="BT3" i="1"/>
  <c r="BT4" i="1" s="1"/>
  <c r="BQ3" i="1"/>
  <c r="BQ4" i="1" s="1"/>
  <c r="BP3" i="1"/>
  <c r="BP4" i="1" s="1"/>
  <c r="BM3" i="1"/>
  <c r="BM4" i="1" s="1"/>
  <c r="BL3" i="1"/>
  <c r="BL4" i="1" s="1"/>
  <c r="BI3" i="1"/>
  <c r="BI4" i="1" s="1"/>
  <c r="BH3" i="1"/>
  <c r="BH4" i="1" s="1"/>
  <c r="BE3" i="1"/>
  <c r="BE4" i="1" s="1"/>
  <c r="BD3" i="1"/>
  <c r="BD4" i="1" s="1"/>
  <c r="AZ3" i="1"/>
  <c r="AV3" i="1"/>
  <c r="AV8" i="1" s="1"/>
  <c r="AR3" i="1"/>
  <c r="AR4" i="1" s="1"/>
  <c r="AQ3" i="1"/>
  <c r="AQ4" i="1" s="1"/>
  <c r="AO3" i="1"/>
  <c r="AN3" i="1"/>
  <c r="AN4" i="1" s="1"/>
  <c r="AM3" i="1"/>
  <c r="AK3" i="1"/>
  <c r="AK4" i="1" s="1"/>
  <c r="AJ3" i="1"/>
  <c r="AJ4" i="1" s="1"/>
  <c r="AI3" i="1"/>
  <c r="AG3" i="1"/>
  <c r="AG4" i="1" s="1"/>
  <c r="AF3" i="1"/>
  <c r="AF4" i="1" s="1"/>
  <c r="AE3" i="1"/>
  <c r="AE4" i="1" s="1"/>
  <c r="AC3" i="1"/>
  <c r="AC4" i="1" s="1"/>
  <c r="AB3" i="1"/>
  <c r="AB4" i="1" s="1"/>
  <c r="AA3" i="1"/>
  <c r="Y3" i="1"/>
  <c r="X3" i="1"/>
  <c r="X4" i="1" s="1"/>
  <c r="W3" i="1"/>
  <c r="U3" i="1"/>
  <c r="U4" i="1" s="1"/>
  <c r="T3" i="1"/>
  <c r="T4" i="1" s="1"/>
  <c r="S3" i="1"/>
  <c r="Q3" i="1"/>
  <c r="Q4" i="1" s="1"/>
  <c r="P3" i="1"/>
  <c r="P4" i="1" s="1"/>
  <c r="O3" i="1"/>
  <c r="M3" i="1"/>
  <c r="L3" i="1"/>
  <c r="L4" i="1" s="1"/>
  <c r="K3" i="1"/>
  <c r="I3" i="1"/>
  <c r="H3" i="1"/>
  <c r="H4" i="1" s="1"/>
  <c r="G3" i="1"/>
  <c r="G4" i="1" s="1"/>
  <c r="E3" i="1"/>
  <c r="E4" i="1" s="1"/>
  <c r="D3" i="1"/>
  <c r="D4" i="1" s="1"/>
  <c r="C3" i="1"/>
  <c r="B3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DG1" i="1"/>
  <c r="DF1" i="1"/>
  <c r="DE1" i="1"/>
  <c r="DD1" i="1"/>
  <c r="DC1" i="1"/>
  <c r="DB1" i="1"/>
  <c r="DA1" i="1"/>
  <c r="CZ1" i="1"/>
  <c r="CL1" i="1"/>
  <c r="CK1" i="1"/>
  <c r="AE1" i="1"/>
  <c r="AD1" i="1"/>
  <c r="R1" i="1"/>
  <c r="Q1" i="1"/>
  <c r="P1" i="1"/>
  <c r="BQ6" i="1" l="1"/>
  <c r="BQ8" i="1"/>
  <c r="BQ5" i="1"/>
  <c r="AQ5" i="1"/>
  <c r="AQ8" i="1"/>
  <c r="AQ6" i="1"/>
  <c r="BT18" i="1"/>
  <c r="BT8" i="1"/>
  <c r="BT5" i="1"/>
  <c r="BT7" i="1" s="1"/>
  <c r="DW5" i="1"/>
  <c r="DW8" i="1"/>
  <c r="EB18" i="1"/>
  <c r="EB8" i="1"/>
  <c r="EB5" i="1"/>
  <c r="DU5" i="1"/>
  <c r="DU7" i="1" s="1"/>
  <c r="L18" i="1"/>
  <c r="L5" i="1"/>
  <c r="DC18" i="1"/>
  <c r="DC26" i="1"/>
  <c r="DC5" i="1"/>
  <c r="DC8" i="1"/>
  <c r="AR5" i="1"/>
  <c r="AR7" i="1" s="1"/>
  <c r="AR8" i="1"/>
  <c r="AR6" i="1"/>
  <c r="AF26" i="1"/>
  <c r="EE26" i="1"/>
  <c r="EE18" i="1"/>
  <c r="EE5" i="1"/>
  <c r="EE8" i="1"/>
  <c r="BE6" i="1"/>
  <c r="BE8" i="1"/>
  <c r="BE5" i="1"/>
  <c r="CG8" i="1"/>
  <c r="CG6" i="1"/>
  <c r="CG5" i="1"/>
  <c r="DM8" i="1"/>
  <c r="DM6" i="1"/>
  <c r="DM5" i="1"/>
  <c r="DM7" i="1" s="1"/>
  <c r="AB26" i="1"/>
  <c r="AB18" i="1"/>
  <c r="AB5" i="1"/>
  <c r="P18" i="1"/>
  <c r="CF8" i="1"/>
  <c r="CF6" i="1"/>
  <c r="CF5" i="1"/>
  <c r="CI26" i="1"/>
  <c r="CI18" i="1"/>
  <c r="CI5" i="1"/>
  <c r="DO26" i="1"/>
  <c r="DO5" i="1"/>
  <c r="EA8" i="1"/>
  <c r="EA6" i="1"/>
  <c r="EA5" i="1"/>
  <c r="EA7" i="1" s="1"/>
  <c r="DL6" i="1"/>
  <c r="DL5" i="1"/>
  <c r="DL8" i="1"/>
  <c r="AJ26" i="1"/>
  <c r="BI8" i="1"/>
  <c r="BI5" i="1"/>
  <c r="BI6" i="1"/>
  <c r="CU26" i="1"/>
  <c r="CU18" i="1"/>
  <c r="CU5" i="1"/>
  <c r="BU8" i="1"/>
  <c r="BU6" i="1"/>
  <c r="BU5" i="1"/>
  <c r="E23" i="1"/>
  <c r="E24" i="1" s="1"/>
  <c r="E25" i="1" s="1"/>
  <c r="E18" i="1"/>
  <c r="E5" i="1"/>
  <c r="E7" i="1" s="1"/>
  <c r="U26" i="1"/>
  <c r="U5" i="1"/>
  <c r="BL18" i="1"/>
  <c r="BL5" i="1"/>
  <c r="BL7" i="1" s="1"/>
  <c r="CK18" i="1"/>
  <c r="CK26" i="1"/>
  <c r="CK8" i="1"/>
  <c r="CK5" i="1"/>
  <c r="G18" i="1"/>
  <c r="G5" i="1"/>
  <c r="G7" i="1" s="1"/>
  <c r="BM5" i="1"/>
  <c r="BM6" i="1"/>
  <c r="BM8" i="1"/>
  <c r="CM26" i="1"/>
  <c r="DS26" i="1"/>
  <c r="H18" i="1"/>
  <c r="H5" i="1"/>
  <c r="H7" i="1" s="1"/>
  <c r="H8" i="1"/>
  <c r="AN23" i="1"/>
  <c r="AN24" i="1" s="1"/>
  <c r="AN25" i="1" s="1"/>
  <c r="AN18" i="1"/>
  <c r="AN5" i="1"/>
  <c r="AN7" i="1" s="1"/>
  <c r="AN8" i="1"/>
  <c r="BP18" i="1"/>
  <c r="BP5" i="1"/>
  <c r="BP7" i="1" s="1"/>
  <c r="CQ18" i="1"/>
  <c r="CQ8" i="1"/>
  <c r="CQ5" i="1"/>
  <c r="CQ7" i="1" s="1"/>
  <c r="DT5" i="1"/>
  <c r="DT7" i="1" s="1"/>
  <c r="B26" i="1"/>
  <c r="B23" i="1"/>
  <c r="B24" i="1" s="1"/>
  <c r="B25" i="1" s="1"/>
  <c r="B18" i="1"/>
  <c r="N3" i="1"/>
  <c r="N4" i="1" s="1"/>
  <c r="Z3" i="1"/>
  <c r="AL3" i="1"/>
  <c r="AL4" i="1" s="1"/>
  <c r="CH3" i="1"/>
  <c r="CH4" i="1" s="1"/>
  <c r="DR3" i="1"/>
  <c r="DR4" i="1" s="1"/>
  <c r="ED3" i="1"/>
  <c r="ED4" i="1" s="1"/>
  <c r="AV4" i="1"/>
  <c r="DP4" i="1"/>
  <c r="DY7" i="1"/>
  <c r="AG10" i="1"/>
  <c r="AF10" i="1"/>
  <c r="DK10" i="1"/>
  <c r="CY10" i="1"/>
  <c r="CM10" i="1"/>
  <c r="AE10" i="1"/>
  <c r="CL10" i="1"/>
  <c r="AD10" i="1"/>
  <c r="CK10" i="1"/>
  <c r="CK23" i="1" s="1"/>
  <c r="CK24" i="1" s="1"/>
  <c r="CK25" i="1" s="1"/>
  <c r="CJ10" i="1"/>
  <c r="DC10" i="1"/>
  <c r="DC23" i="1" s="1"/>
  <c r="DC24" i="1" s="1"/>
  <c r="DC25" i="1" s="1"/>
  <c r="C26" i="1"/>
  <c r="M4" i="1"/>
  <c r="Y4" i="1"/>
  <c r="DQ4" i="1"/>
  <c r="K5" i="1"/>
  <c r="W5" i="1"/>
  <c r="AI5" i="1"/>
  <c r="AB10" i="1"/>
  <c r="AB23" i="1" s="1"/>
  <c r="AB24" i="1" s="1"/>
  <c r="AB25" i="1" s="1"/>
  <c r="AZ26" i="1"/>
  <c r="AV5" i="1"/>
  <c r="AV7" i="1" s="1"/>
  <c r="O8" i="1"/>
  <c r="DN10" i="1"/>
  <c r="DN24" i="1" s="1"/>
  <c r="DN25" i="1" s="1"/>
  <c r="CD10" i="1"/>
  <c r="CD24" i="1" s="1"/>
  <c r="CD25" i="1" s="1"/>
  <c r="BR10" i="1"/>
  <c r="BR24" i="1" s="1"/>
  <c r="BR25" i="1" s="1"/>
  <c r="BF10" i="1"/>
  <c r="BF24" i="1" s="1"/>
  <c r="BF25" i="1" s="1"/>
  <c r="AT10" i="1"/>
  <c r="AT24" i="1" s="1"/>
  <c r="AT25" i="1" s="1"/>
  <c r="AH10" i="1"/>
  <c r="V10" i="1"/>
  <c r="DY10" i="1"/>
  <c r="DM10" i="1"/>
  <c r="DM24" i="1" s="1"/>
  <c r="DM25" i="1" s="1"/>
  <c r="DA10" i="1"/>
  <c r="DA24" i="1" s="1"/>
  <c r="CO10" i="1"/>
  <c r="CO24" i="1" s="1"/>
  <c r="U10" i="1"/>
  <c r="U23" i="1" s="1"/>
  <c r="U24" i="1" s="1"/>
  <c r="U25" i="1" s="1"/>
  <c r="DL10" i="1"/>
  <c r="DL24" i="1" s="1"/>
  <c r="DL25" i="1" s="1"/>
  <c r="CB10" i="1"/>
  <c r="BP10" i="1"/>
  <c r="BP23" i="1" s="1"/>
  <c r="BP24" i="1" s="1"/>
  <c r="BP25" i="1" s="1"/>
  <c r="BD10" i="1"/>
  <c r="AR10" i="1"/>
  <c r="AR24" i="1" s="1"/>
  <c r="AR25" i="1" s="1"/>
  <c r="DW10" i="1"/>
  <c r="BC10" i="1"/>
  <c r="AQ10" i="1"/>
  <c r="S10" i="1"/>
  <c r="DV10" i="1"/>
  <c r="BZ10" i="1"/>
  <c r="BN10" i="1"/>
  <c r="BB10" i="1"/>
  <c r="AP10" i="1"/>
  <c r="DU10" i="1"/>
  <c r="DU23" i="1" s="1"/>
  <c r="DU24" i="1" s="1"/>
  <c r="DU25" i="1" s="1"/>
  <c r="DI10" i="1"/>
  <c r="CW10" i="1"/>
  <c r="CW24" i="1" s="1"/>
  <c r="DT10" i="1"/>
  <c r="BX10" i="1"/>
  <c r="BL10" i="1"/>
  <c r="BL23" i="1" s="1"/>
  <c r="BL24" i="1" s="1"/>
  <c r="BL25" i="1" s="1"/>
  <c r="N10" i="1"/>
  <c r="AC10" i="1"/>
  <c r="AY10" i="1"/>
  <c r="AW10" i="1" s="1"/>
  <c r="DE10" i="1"/>
  <c r="EE10" i="1"/>
  <c r="EE23" i="1" s="1"/>
  <c r="EE24" i="1" s="1"/>
  <c r="EE25" i="1" s="1"/>
  <c r="AA18" i="1"/>
  <c r="AA23" i="1"/>
  <c r="AA24" i="1" s="1"/>
  <c r="AA25" i="1" s="1"/>
  <c r="C10" i="1"/>
  <c r="C23" i="1" s="1"/>
  <c r="C24" i="1" s="1"/>
  <c r="C25" i="1" s="1"/>
  <c r="O10" i="1"/>
  <c r="AI10" i="1"/>
  <c r="AZ10" i="1"/>
  <c r="AZ23" i="1" s="1"/>
  <c r="AZ24" i="1" s="1"/>
  <c r="AZ25" i="1" s="1"/>
  <c r="CF10" i="1"/>
  <c r="CF24" i="1" s="1"/>
  <c r="CF25" i="1" s="1"/>
  <c r="F3" i="1"/>
  <c r="F4" i="1" s="1"/>
  <c r="R3" i="1"/>
  <c r="R4" i="1" s="1"/>
  <c r="AD3" i="1"/>
  <c r="AD4" i="1" s="1"/>
  <c r="AP3" i="1"/>
  <c r="CL3" i="1"/>
  <c r="CL4" i="1" s="1"/>
  <c r="DV3" i="1"/>
  <c r="DV4" i="1" s="1"/>
  <c r="AZ4" i="1"/>
  <c r="BX4" i="1"/>
  <c r="BX26" i="1" s="1"/>
  <c r="B5" i="1"/>
  <c r="B8" i="1"/>
  <c r="D10" i="1"/>
  <c r="P10" i="1"/>
  <c r="AJ10" i="1"/>
  <c r="CG10" i="1"/>
  <c r="DG10" i="1"/>
  <c r="S23" i="1"/>
  <c r="S24" i="1" s="1"/>
  <c r="S26" i="1"/>
  <c r="AO4" i="1"/>
  <c r="C5" i="1"/>
  <c r="C7" i="1" s="1"/>
  <c r="D26" i="1" s="1"/>
  <c r="O5" i="1"/>
  <c r="AA5" i="1"/>
  <c r="AA7" i="1" s="1"/>
  <c r="AM5" i="1"/>
  <c r="AM7" i="1" s="1"/>
  <c r="C8" i="1"/>
  <c r="K18" i="1" s="1"/>
  <c r="E10" i="1"/>
  <c r="Q10" i="1"/>
  <c r="AK10" i="1"/>
  <c r="BH10" i="1"/>
  <c r="CH10" i="1"/>
  <c r="DO10" i="1"/>
  <c r="DO23" i="1" s="1"/>
  <c r="DO24" i="1" s="1"/>
  <c r="DO25" i="1" s="1"/>
  <c r="EB15" i="1"/>
  <c r="DC15" i="1"/>
  <c r="CQ15" i="1"/>
  <c r="AG15" i="1"/>
  <c r="AF15" i="1"/>
  <c r="DK15" i="1"/>
  <c r="CY15" i="1"/>
  <c r="CM15" i="1"/>
  <c r="AE15" i="1"/>
  <c r="CL15" i="1"/>
  <c r="AD15" i="1"/>
  <c r="CK15" i="1"/>
  <c r="CI15" i="1"/>
  <c r="F10" i="1"/>
  <c r="R10" i="1"/>
  <c r="AL10" i="1"/>
  <c r="CI10" i="1"/>
  <c r="CI23" i="1" s="1"/>
  <c r="CI24" i="1" s="1"/>
  <c r="CI25" i="1" s="1"/>
  <c r="DP10" i="1"/>
  <c r="CY14" i="1"/>
  <c r="DP15" i="1"/>
  <c r="CF15" i="1"/>
  <c r="BT15" i="1"/>
  <c r="BH15" i="1"/>
  <c r="AV15" i="1"/>
  <c r="AJ15" i="1"/>
  <c r="X15" i="1"/>
  <c r="L15" i="1"/>
  <c r="EA15" i="1"/>
  <c r="DO15" i="1"/>
  <c r="AU15" i="1"/>
  <c r="AS15" i="1" s="1"/>
  <c r="AI15" i="1"/>
  <c r="W15" i="1"/>
  <c r="K15" i="1"/>
  <c r="DN15" i="1"/>
  <c r="CD15" i="1"/>
  <c r="BR15" i="1"/>
  <c r="BF15" i="1"/>
  <c r="AT15" i="1"/>
  <c r="AH15" i="1"/>
  <c r="V15" i="1"/>
  <c r="J15" i="1"/>
  <c r="DY15" i="1"/>
  <c r="DM15" i="1"/>
  <c r="DA15" i="1"/>
  <c r="CO15" i="1"/>
  <c r="U15" i="1"/>
  <c r="I15" i="1"/>
  <c r="DL15" i="1"/>
  <c r="CB15" i="1"/>
  <c r="BP15" i="1"/>
  <c r="BD15" i="1"/>
  <c r="AR15" i="1"/>
  <c r="T15" i="1"/>
  <c r="H15" i="1"/>
  <c r="DW15" i="1"/>
  <c r="BC15" i="1"/>
  <c r="BA15" i="1" s="1"/>
  <c r="AQ15" i="1"/>
  <c r="S15" i="1"/>
  <c r="G15" i="1"/>
  <c r="DV15" i="1"/>
  <c r="BZ15" i="1"/>
  <c r="BN15" i="1"/>
  <c r="BB15" i="1"/>
  <c r="AP15" i="1"/>
  <c r="R15" i="1"/>
  <c r="F15" i="1"/>
  <c r="DU15" i="1"/>
  <c r="DI15" i="1"/>
  <c r="CW15" i="1"/>
  <c r="AB15" i="1"/>
  <c r="CJ15" i="1"/>
  <c r="DT15" i="1"/>
  <c r="S4" i="1"/>
  <c r="G10" i="1"/>
  <c r="G23" i="1" s="1"/>
  <c r="G24" i="1" s="1"/>
  <c r="G25" i="1" s="1"/>
  <c r="T10" i="1"/>
  <c r="AM10" i="1"/>
  <c r="AM23" i="1" s="1"/>
  <c r="AM24" i="1" s="1"/>
  <c r="AM25" i="1" s="1"/>
  <c r="BJ10" i="1"/>
  <c r="BJ24" i="1" s="1"/>
  <c r="CQ10" i="1"/>
  <c r="CQ23" i="1" s="1"/>
  <c r="CQ24" i="1" s="1"/>
  <c r="CQ25" i="1" s="1"/>
  <c r="DQ10" i="1"/>
  <c r="C15" i="1"/>
  <c r="AE5" i="1" s="1"/>
  <c r="AC15" i="1"/>
  <c r="BJ15" i="1"/>
  <c r="CS15" i="1"/>
  <c r="EC15" i="1"/>
  <c r="J3" i="1"/>
  <c r="V3" i="1"/>
  <c r="AH3" i="1"/>
  <c r="DN3" i="1"/>
  <c r="DN4" i="1" s="1"/>
  <c r="CB4" i="1"/>
  <c r="CH14" i="1"/>
  <c r="EB14" i="1"/>
  <c r="DC14" i="1"/>
  <c r="CQ14" i="1"/>
  <c r="AG14" i="1"/>
  <c r="AF14" i="1"/>
  <c r="ED15" i="1"/>
  <c r="W26" i="1"/>
  <c r="W23" i="1"/>
  <c r="W24" i="1" s="1"/>
  <c r="AI26" i="1"/>
  <c r="AI23" i="1"/>
  <c r="AI24" i="1" s="1"/>
  <c r="AI25" i="1" s="1"/>
  <c r="I4" i="1"/>
  <c r="AI8" i="1"/>
  <c r="I10" i="1"/>
  <c r="X10" i="1"/>
  <c r="AO10" i="1"/>
  <c r="CS10" i="1"/>
  <c r="DS10" i="1"/>
  <c r="DS23" i="1" s="1"/>
  <c r="DS24" i="1" s="1"/>
  <c r="DS25" i="1" s="1"/>
  <c r="AB14" i="1"/>
  <c r="CI14" i="1"/>
  <c r="E15" i="1"/>
  <c r="AL15" i="1"/>
  <c r="BL15" i="1"/>
  <c r="CU15" i="1"/>
  <c r="EE15" i="1"/>
  <c r="L26" i="1"/>
  <c r="AV26" i="1"/>
  <c r="AV18" i="1"/>
  <c r="W8" i="1"/>
  <c r="J10" i="1"/>
  <c r="Y10" i="1"/>
  <c r="AU10" i="1"/>
  <c r="BT10" i="1"/>
  <c r="BT23" i="1" s="1"/>
  <c r="BT24" i="1" s="1"/>
  <c r="BT25" i="1" s="1"/>
  <c r="EA10" i="1"/>
  <c r="EA24" i="1" s="1"/>
  <c r="EA25" i="1" s="1"/>
  <c r="AC14" i="1"/>
  <c r="CJ14" i="1"/>
  <c r="M15" i="1"/>
  <c r="AM15" i="1"/>
  <c r="DW16" i="1"/>
  <c r="BC16" i="1"/>
  <c r="AQ16" i="1"/>
  <c r="DV16" i="1"/>
  <c r="BZ16" i="1"/>
  <c r="BN16" i="1"/>
  <c r="BB16" i="1"/>
  <c r="AP16" i="1"/>
  <c r="DU16" i="1"/>
  <c r="DI16" i="1"/>
  <c r="CW16" i="1"/>
  <c r="AO16" i="1"/>
  <c r="Q16" i="1"/>
  <c r="EE16" i="1"/>
  <c r="DS16" i="1"/>
  <c r="AY16" i="1"/>
  <c r="AM16" i="1"/>
  <c r="EC16" i="1"/>
  <c r="EA16" i="1"/>
  <c r="DO16" i="1"/>
  <c r="AU16" i="1"/>
  <c r="AS16" i="1" s="1"/>
  <c r="AI16" i="1"/>
  <c r="DR16" i="1"/>
  <c r="CD16" i="1"/>
  <c r="AN16" i="1"/>
  <c r="W16" i="1"/>
  <c r="J16" i="1"/>
  <c r="DQ16" i="1"/>
  <c r="BH16" i="1"/>
  <c r="AL16" i="1"/>
  <c r="V16" i="1"/>
  <c r="I16" i="1"/>
  <c r="DP16" i="1"/>
  <c r="CB16" i="1"/>
  <c r="BF16" i="1"/>
  <c r="AK16" i="1"/>
  <c r="U16" i="1"/>
  <c r="H16" i="1"/>
  <c r="DN16" i="1"/>
  <c r="CS16" i="1"/>
  <c r="BX16" i="1"/>
  <c r="AJ16" i="1"/>
  <c r="T16" i="1"/>
  <c r="G16" i="1"/>
  <c r="DM16" i="1"/>
  <c r="BV16" i="1"/>
  <c r="BD16" i="1"/>
  <c r="AH16" i="1"/>
  <c r="S16" i="1"/>
  <c r="F16" i="1"/>
  <c r="DL16" i="1"/>
  <c r="AZ16" i="1"/>
  <c r="R16" i="1"/>
  <c r="E16" i="1"/>
  <c r="ED16" i="1"/>
  <c r="CO16" i="1"/>
  <c r="BT16" i="1"/>
  <c r="AX16" i="1"/>
  <c r="P16" i="1"/>
  <c r="D16" i="1"/>
  <c r="BR16" i="1"/>
  <c r="O16" i="1"/>
  <c r="C16" i="1"/>
  <c r="AJ5" i="1" s="1"/>
  <c r="AR16" i="1"/>
  <c r="DA16" i="1"/>
  <c r="CK22" i="1"/>
  <c r="AC22" i="1"/>
  <c r="CJ22" i="1"/>
  <c r="AB22" i="1"/>
  <c r="EB22" i="1"/>
  <c r="CI22" i="1"/>
  <c r="CY22" i="1"/>
  <c r="CH22" i="1"/>
  <c r="CU22" i="1"/>
  <c r="DK22" i="1"/>
  <c r="AG22" i="1"/>
  <c r="DG22" i="1"/>
  <c r="CQ22" i="1"/>
  <c r="AF22" i="1"/>
  <c r="AE22" i="1"/>
  <c r="AD22" i="1"/>
  <c r="N11" i="1"/>
  <c r="Z11" i="1"/>
  <c r="AL11" i="1"/>
  <c r="AX11" i="1"/>
  <c r="AX24" i="1" s="1"/>
  <c r="AX25" i="1" s="1"/>
  <c r="BJ11" i="1"/>
  <c r="BV11" i="1"/>
  <c r="BV24" i="1" s="1"/>
  <c r="BV25" i="1" s="1"/>
  <c r="CH11" i="1"/>
  <c r="DR11" i="1"/>
  <c r="ED11" i="1"/>
  <c r="L12" i="1"/>
  <c r="L23" i="1" s="1"/>
  <c r="L24" i="1" s="1"/>
  <c r="L25" i="1" s="1"/>
  <c r="X12" i="1"/>
  <c r="AJ12" i="1"/>
  <c r="AV12" i="1"/>
  <c r="AV23" i="1" s="1"/>
  <c r="AV24" i="1" s="1"/>
  <c r="AV25" i="1" s="1"/>
  <c r="BH12" i="1"/>
  <c r="BT12" i="1"/>
  <c r="CF12" i="1"/>
  <c r="DP12" i="1"/>
  <c r="EB12" i="1"/>
  <c r="EB23" i="1" s="1"/>
  <c r="EB24" i="1" s="1"/>
  <c r="EB25" i="1" s="1"/>
  <c r="J13" i="1"/>
  <c r="V13" i="1"/>
  <c r="AH13" i="1"/>
  <c r="AT13" i="1"/>
  <c r="BF13" i="1"/>
  <c r="BR13" i="1"/>
  <c r="CD13" i="1"/>
  <c r="DN13" i="1"/>
  <c r="H14" i="1"/>
  <c r="T14" i="1"/>
  <c r="AR14" i="1"/>
  <c r="BD14" i="1"/>
  <c r="BP14" i="1"/>
  <c r="CB14" i="1"/>
  <c r="DL14" i="1"/>
  <c r="O11" i="1"/>
  <c r="AM11" i="1"/>
  <c r="AY11" i="1"/>
  <c r="AW11" i="1" s="1"/>
  <c r="CI11" i="1"/>
  <c r="CU11" i="1"/>
  <c r="CU23" i="1" s="1"/>
  <c r="CU24" i="1" s="1"/>
  <c r="CU25" i="1" s="1"/>
  <c r="DG11" i="1"/>
  <c r="DS11" i="1"/>
  <c r="EE11" i="1"/>
  <c r="M12" i="1"/>
  <c r="Y12" i="1"/>
  <c r="AK12" i="1"/>
  <c r="CG12" i="1"/>
  <c r="CS12" i="1"/>
  <c r="DE12" i="1"/>
  <c r="DQ12" i="1"/>
  <c r="EC12" i="1"/>
  <c r="K13" i="1"/>
  <c r="W13" i="1"/>
  <c r="AI13" i="1"/>
  <c r="AU13" i="1"/>
  <c r="CQ13" i="1"/>
  <c r="DC13" i="1"/>
  <c r="DO13" i="1"/>
  <c r="EA13" i="1"/>
  <c r="I14" i="1"/>
  <c r="U14" i="1"/>
  <c r="CO14" i="1"/>
  <c r="DA14" i="1"/>
  <c r="DM14" i="1"/>
  <c r="DY14" i="1"/>
  <c r="D11" i="1"/>
  <c r="P11" i="1"/>
  <c r="AB11" i="1"/>
  <c r="AN11" i="1"/>
  <c r="AZ11" i="1"/>
  <c r="BL11" i="1"/>
  <c r="BX11" i="1"/>
  <c r="CJ11" i="1"/>
  <c r="DT11" i="1"/>
  <c r="DT23" i="1" s="1"/>
  <c r="DT24" i="1" s="1"/>
  <c r="DT25" i="1" s="1"/>
  <c r="N12" i="1"/>
  <c r="Z12" i="1"/>
  <c r="AL12" i="1"/>
  <c r="AX12" i="1"/>
  <c r="BJ12" i="1"/>
  <c r="BV12" i="1"/>
  <c r="CH12" i="1"/>
  <c r="DR12" i="1"/>
  <c r="ED12" i="1"/>
  <c r="L13" i="1"/>
  <c r="X13" i="1"/>
  <c r="AJ13" i="1"/>
  <c r="AV13" i="1"/>
  <c r="BH13" i="1"/>
  <c r="BT13" i="1"/>
  <c r="CF13" i="1"/>
  <c r="DP13" i="1"/>
  <c r="EB13" i="1"/>
  <c r="J14" i="1"/>
  <c r="V14" i="1"/>
  <c r="AH14" i="1"/>
  <c r="AT14" i="1"/>
  <c r="BF14" i="1"/>
  <c r="BR14" i="1"/>
  <c r="CD14" i="1"/>
  <c r="DN14" i="1"/>
  <c r="DC22" i="1"/>
  <c r="E11" i="1"/>
  <c r="Q11" i="1"/>
  <c r="AC11" i="1"/>
  <c r="AO11" i="1"/>
  <c r="CK11" i="1"/>
  <c r="CW11" i="1"/>
  <c r="DI11" i="1"/>
  <c r="DU11" i="1"/>
  <c r="AM12" i="1"/>
  <c r="AY12" i="1"/>
  <c r="AW12" i="1" s="1"/>
  <c r="CI12" i="1"/>
  <c r="CU12" i="1"/>
  <c r="DG12" i="1"/>
  <c r="DS12" i="1"/>
  <c r="EE12" i="1"/>
  <c r="M13" i="1"/>
  <c r="Y13" i="1"/>
  <c r="AK13" i="1"/>
  <c r="CG13" i="1"/>
  <c r="CS13" i="1"/>
  <c r="DE13" i="1"/>
  <c r="DQ13" i="1"/>
  <c r="EC13" i="1"/>
  <c r="K14" i="1"/>
  <c r="W14" i="1"/>
  <c r="AI14" i="1"/>
  <c r="AU14" i="1"/>
  <c r="DO14" i="1"/>
  <c r="EA14" i="1"/>
  <c r="F11" i="1"/>
  <c r="R11" i="1"/>
  <c r="AD11" i="1"/>
  <c r="AP11" i="1"/>
  <c r="BB11" i="1"/>
  <c r="BN11" i="1"/>
  <c r="BZ11" i="1"/>
  <c r="CL11" i="1"/>
  <c r="DV11" i="1"/>
  <c r="D12" i="1"/>
  <c r="P12" i="1"/>
  <c r="AB12" i="1"/>
  <c r="AN12" i="1"/>
  <c r="AZ12" i="1"/>
  <c r="BL12" i="1"/>
  <c r="BX12" i="1"/>
  <c r="CJ12" i="1"/>
  <c r="DT12" i="1"/>
  <c r="N13" i="1"/>
  <c r="Z13" i="1"/>
  <c r="AL13" i="1"/>
  <c r="AX13" i="1"/>
  <c r="BJ13" i="1"/>
  <c r="BV13" i="1"/>
  <c r="CH13" i="1"/>
  <c r="DR13" i="1"/>
  <c r="ED13" i="1"/>
  <c r="L14" i="1"/>
  <c r="X14" i="1"/>
  <c r="AJ14" i="1"/>
  <c r="AV14" i="1"/>
  <c r="BH14" i="1"/>
  <c r="BT14" i="1"/>
  <c r="CF14" i="1"/>
  <c r="DP14" i="1"/>
  <c r="G11" i="1"/>
  <c r="S11" i="1"/>
  <c r="AE11" i="1"/>
  <c r="AQ11" i="1"/>
  <c r="BC11" i="1"/>
  <c r="CM11" i="1"/>
  <c r="CY11" i="1"/>
  <c r="DK11" i="1"/>
  <c r="DW11" i="1"/>
  <c r="DW23" i="1" s="1"/>
  <c r="DW24" i="1" s="1"/>
  <c r="DW25" i="1" s="1"/>
  <c r="E12" i="1"/>
  <c r="Q12" i="1"/>
  <c r="AC12" i="1"/>
  <c r="AO12" i="1"/>
  <c r="CK12" i="1"/>
  <c r="CW12" i="1"/>
  <c r="DI12" i="1"/>
  <c r="DU12" i="1"/>
  <c r="C13" i="1"/>
  <c r="CY23" i="1" s="1"/>
  <c r="CY24" i="1" s="1"/>
  <c r="CY25" i="1" s="1"/>
  <c r="O13" i="1"/>
  <c r="AM13" i="1"/>
  <c r="AY13" i="1"/>
  <c r="CI13" i="1"/>
  <c r="CU13" i="1"/>
  <c r="DS13" i="1"/>
  <c r="EE13" i="1"/>
  <c r="M14" i="1"/>
  <c r="Y14" i="1"/>
  <c r="AK14" i="1"/>
  <c r="CG14" i="1"/>
  <c r="CS14" i="1"/>
  <c r="DE14" i="1"/>
  <c r="DQ14" i="1"/>
  <c r="EC14" i="1"/>
  <c r="H11" i="1"/>
  <c r="H23" i="1" s="1"/>
  <c r="H24" i="1" s="1"/>
  <c r="H25" i="1" s="1"/>
  <c r="T11" i="1"/>
  <c r="AR11" i="1"/>
  <c r="BD11" i="1"/>
  <c r="BP11" i="1"/>
  <c r="CB11" i="1"/>
  <c r="BB12" i="1"/>
  <c r="BA12" i="1" s="1"/>
  <c r="BN12" i="1"/>
  <c r="BZ12" i="1"/>
  <c r="N14" i="1"/>
  <c r="Z14" i="1"/>
  <c r="AL14" i="1"/>
  <c r="AX14" i="1"/>
  <c r="AW14" i="1" s="1"/>
  <c r="BJ14" i="1"/>
  <c r="BV14" i="1"/>
  <c r="DR14" i="1"/>
  <c r="CQ16" i="1"/>
  <c r="DC16" i="1"/>
  <c r="I17" i="1"/>
  <c r="U17" i="1"/>
  <c r="AG17" i="1"/>
  <c r="CO17" i="1"/>
  <c r="DA17" i="1"/>
  <c r="DM17" i="1"/>
  <c r="DY17" i="1"/>
  <c r="M19" i="1"/>
  <c r="DC19" i="1"/>
  <c r="CQ19" i="1"/>
  <c r="AO19" i="1"/>
  <c r="BC19" i="1"/>
  <c r="BA19" i="1" s="1"/>
  <c r="CG19" i="1"/>
  <c r="CU19" i="1"/>
  <c r="DI19" i="1"/>
  <c r="DW19" i="1"/>
  <c r="G20" i="1"/>
  <c r="W20" i="1"/>
  <c r="AK20" i="1"/>
  <c r="AY20" i="1"/>
  <c r="AW20" i="1" s="1"/>
  <c r="DE20" i="1"/>
  <c r="DS20" i="1"/>
  <c r="CU21" i="1"/>
  <c r="M22" i="1"/>
  <c r="BZ22" i="1"/>
  <c r="CO22" i="1"/>
  <c r="DE22" i="1"/>
  <c r="K17" i="1"/>
  <c r="W17" i="1"/>
  <c r="AI17" i="1"/>
  <c r="AU17" i="1"/>
  <c r="AS17" i="1" s="1"/>
  <c r="CQ17" i="1"/>
  <c r="DC17" i="1"/>
  <c r="DO17" i="1"/>
  <c r="EA17" i="1"/>
  <c r="O19" i="1"/>
  <c r="AQ19" i="1"/>
  <c r="CI19" i="1"/>
  <c r="CW19" i="1"/>
  <c r="DK19" i="1"/>
  <c r="K20" i="1"/>
  <c r="Y20" i="1"/>
  <c r="AM20" i="1"/>
  <c r="CS20" i="1"/>
  <c r="DU20" i="1"/>
  <c r="EA19" i="1"/>
  <c r="DO19" i="1"/>
  <c r="AU19" i="1"/>
  <c r="AS19" i="1" s="1"/>
  <c r="AI19" i="1"/>
  <c r="W19" i="1"/>
  <c r="K19" i="1"/>
  <c r="DN19" i="1"/>
  <c r="CD19" i="1"/>
  <c r="BR19" i="1"/>
  <c r="BF19" i="1"/>
  <c r="AT19" i="1"/>
  <c r="AH19" i="1"/>
  <c r="V19" i="1"/>
  <c r="J19" i="1"/>
  <c r="P19" i="1"/>
  <c r="AR19" i="1"/>
  <c r="BH19" i="1"/>
  <c r="BV19" i="1"/>
  <c r="CJ19" i="1"/>
  <c r="DL19" i="1"/>
  <c r="EB19" i="1"/>
  <c r="L20" i="1"/>
  <c r="Z20" i="1"/>
  <c r="AN20" i="1"/>
  <c r="BB20" i="1"/>
  <c r="BR20" i="1"/>
  <c r="CF20" i="1"/>
  <c r="DV20" i="1"/>
  <c r="CI21" i="1"/>
  <c r="CI16" i="1"/>
  <c r="CU16" i="1"/>
  <c r="DG16" i="1"/>
  <c r="M17" i="1"/>
  <c r="Y17" i="1"/>
  <c r="AK17" i="1"/>
  <c r="CG17" i="1"/>
  <c r="CS17" i="1"/>
  <c r="DE17" i="1"/>
  <c r="DQ17" i="1"/>
  <c r="EC17" i="1"/>
  <c r="C19" i="1"/>
  <c r="Q19" i="1"/>
  <c r="AE19" i="1"/>
  <c r="CK19" i="1"/>
  <c r="CY19" i="1"/>
  <c r="DM19" i="1"/>
  <c r="EC19" i="1"/>
  <c r="M20" i="1"/>
  <c r="AG20" i="1"/>
  <c r="AF20" i="1"/>
  <c r="AO20" i="1"/>
  <c r="BC20" i="1"/>
  <c r="BA20" i="1" s="1"/>
  <c r="CG20" i="1"/>
  <c r="CU20" i="1"/>
  <c r="DI20" i="1"/>
  <c r="DW20" i="1"/>
  <c r="DU22" i="1"/>
  <c r="DI22" i="1"/>
  <c r="CW22" i="1"/>
  <c r="AO22" i="1"/>
  <c r="Q22" i="1"/>
  <c r="E22" i="1"/>
  <c r="DT22" i="1"/>
  <c r="BX22" i="1"/>
  <c r="BL22" i="1"/>
  <c r="AZ22" i="1"/>
  <c r="AN22" i="1"/>
  <c r="P22" i="1"/>
  <c r="D22" i="1"/>
  <c r="DP22" i="1"/>
  <c r="CF22" i="1"/>
  <c r="BT22" i="1"/>
  <c r="BH22" i="1"/>
  <c r="AV22" i="1"/>
  <c r="AJ22" i="1"/>
  <c r="X22" i="1"/>
  <c r="L22" i="1"/>
  <c r="S22" i="1"/>
  <c r="AH22" i="1"/>
  <c r="AX22" i="1"/>
  <c r="AW22" i="1" s="1"/>
  <c r="CD22" i="1"/>
  <c r="N17" i="1"/>
  <c r="Z17" i="1"/>
  <c r="AL17" i="1"/>
  <c r="AX17" i="1"/>
  <c r="BJ17" i="1"/>
  <c r="BV17" i="1"/>
  <c r="DR17" i="1"/>
  <c r="ED17" i="1"/>
  <c r="D19" i="1"/>
  <c r="R19" i="1"/>
  <c r="AV19" i="1"/>
  <c r="BJ19" i="1"/>
  <c r="BX19" i="1"/>
  <c r="DP19" i="1"/>
  <c r="ED19" i="1"/>
  <c r="AC16" i="1"/>
  <c r="CK16" i="1"/>
  <c r="C17" i="1"/>
  <c r="AF5" i="1" s="1"/>
  <c r="O17" i="1"/>
  <c r="AM17" i="1"/>
  <c r="AY17" i="1"/>
  <c r="AW17" i="1" s="1"/>
  <c r="CI17" i="1"/>
  <c r="CU17" i="1"/>
  <c r="DG17" i="1"/>
  <c r="DS17" i="1"/>
  <c r="EE17" i="1"/>
  <c r="E19" i="1"/>
  <c r="S19" i="1"/>
  <c r="AG19" i="1"/>
  <c r="CM19" i="1"/>
  <c r="DA19" i="1"/>
  <c r="DQ19" i="1"/>
  <c r="EE19" i="1"/>
  <c r="O20" i="1"/>
  <c r="AQ20" i="1"/>
  <c r="CI20" i="1"/>
  <c r="CW20" i="1"/>
  <c r="DK20" i="1"/>
  <c r="DK21" i="1"/>
  <c r="CY21" i="1"/>
  <c r="CM21" i="1"/>
  <c r="AE21" i="1"/>
  <c r="CL21" i="1"/>
  <c r="AD21" i="1"/>
  <c r="CH21" i="1"/>
  <c r="DC21" i="1"/>
  <c r="F22" i="1"/>
  <c r="U22" i="1"/>
  <c r="AK22" i="1"/>
  <c r="BB22" i="1"/>
  <c r="CG22" i="1"/>
  <c r="DM22" i="1"/>
  <c r="EC22" i="1"/>
  <c r="AD16" i="1"/>
  <c r="CL16" i="1"/>
  <c r="D17" i="1"/>
  <c r="P17" i="1"/>
  <c r="AN17" i="1"/>
  <c r="AZ17" i="1"/>
  <c r="BL17" i="1"/>
  <c r="BX17" i="1"/>
  <c r="CJ17" i="1"/>
  <c r="DT17" i="1"/>
  <c r="F19" i="1"/>
  <c r="T19" i="1"/>
  <c r="AJ19" i="1"/>
  <c r="AX19" i="1"/>
  <c r="BL19" i="1"/>
  <c r="BZ19" i="1"/>
  <c r="DR19" i="1"/>
  <c r="DY20" i="1"/>
  <c r="DM20" i="1"/>
  <c r="DA20" i="1"/>
  <c r="CO20" i="1"/>
  <c r="U20" i="1"/>
  <c r="I20" i="1"/>
  <c r="DL20" i="1"/>
  <c r="CB20" i="1"/>
  <c r="BP20" i="1"/>
  <c r="BD20" i="1"/>
  <c r="AR20" i="1"/>
  <c r="T20" i="1"/>
  <c r="H20" i="1"/>
  <c r="P20" i="1"/>
  <c r="AT20" i="1"/>
  <c r="BH20" i="1"/>
  <c r="BV20" i="1"/>
  <c r="DN20" i="1"/>
  <c r="BA22" i="1"/>
  <c r="AE16" i="1"/>
  <c r="CM16" i="1"/>
  <c r="CY16" i="1"/>
  <c r="E17" i="1"/>
  <c r="Q17" i="1"/>
  <c r="AC17" i="1"/>
  <c r="AO17" i="1"/>
  <c r="CW17" i="1"/>
  <c r="DI17" i="1"/>
  <c r="G19" i="1"/>
  <c r="U19" i="1"/>
  <c r="AK19" i="1"/>
  <c r="AY19" i="1"/>
  <c r="CO19" i="1"/>
  <c r="DE19" i="1"/>
  <c r="DS19" i="1"/>
  <c r="C20" i="1"/>
  <c r="EC26" i="1" s="1"/>
  <c r="Q20" i="1"/>
  <c r="AE20" i="1"/>
  <c r="AU20" i="1"/>
  <c r="AS20" i="1" s="1"/>
  <c r="CK20" i="1"/>
  <c r="CY20" i="1"/>
  <c r="DO20" i="1"/>
  <c r="EC20" i="1"/>
  <c r="AC21" i="1"/>
  <c r="H22" i="1"/>
  <c r="W22" i="1"/>
  <c r="AM22" i="1"/>
  <c r="BD22" i="1"/>
  <c r="DO22" i="1"/>
  <c r="EE22" i="1"/>
  <c r="N21" i="1"/>
  <c r="Z21" i="1"/>
  <c r="AL21" i="1"/>
  <c r="AX21" i="1"/>
  <c r="AW21" i="1" s="1"/>
  <c r="BJ21" i="1"/>
  <c r="BV21" i="1"/>
  <c r="DR21" i="1"/>
  <c r="ED21" i="1"/>
  <c r="F21" i="1"/>
  <c r="R21" i="1"/>
  <c r="AP21" i="1"/>
  <c r="BB21" i="1"/>
  <c r="BN21" i="1"/>
  <c r="BZ21" i="1"/>
  <c r="DV21" i="1"/>
  <c r="G21" i="1"/>
  <c r="S21" i="1"/>
  <c r="AQ21" i="1"/>
  <c r="BC21" i="1"/>
  <c r="BA21" i="1" s="1"/>
  <c r="AF8" i="1" l="1"/>
  <c r="AF7" i="1"/>
  <c r="AJ8" i="1"/>
  <c r="AJ7" i="1" s="1"/>
  <c r="DL7" i="1"/>
  <c r="BH5" i="1"/>
  <c r="P8" i="1"/>
  <c r="DK26" i="1"/>
  <c r="CY26" i="1"/>
  <c r="I23" i="1"/>
  <c r="I24" i="1" s="1"/>
  <c r="I25" i="1" s="1"/>
  <c r="I18" i="1"/>
  <c r="I8" i="1"/>
  <c r="I5" i="1"/>
  <c r="AO23" i="1"/>
  <c r="AO24" i="1" s="1"/>
  <c r="AO25" i="1" s="1"/>
  <c r="AO18" i="1"/>
  <c r="AO5" i="1"/>
  <c r="AO8" i="1"/>
  <c r="AZ5" i="1"/>
  <c r="AZ18" i="1"/>
  <c r="AZ8" i="1"/>
  <c r="DI24" i="1"/>
  <c r="DI25" i="1" s="1"/>
  <c r="W7" i="1"/>
  <c r="AL18" i="1"/>
  <c r="AL23" i="1"/>
  <c r="AL24" i="1" s="1"/>
  <c r="AL25" i="1" s="1"/>
  <c r="AL5" i="1"/>
  <c r="AL7" i="1" s="1"/>
  <c r="X18" i="1"/>
  <c r="CM5" i="1"/>
  <c r="AJ18" i="1"/>
  <c r="BH18" i="1"/>
  <c r="P5" i="1"/>
  <c r="CG7" i="1"/>
  <c r="AE8" i="1"/>
  <c r="AE7" i="1" s="1"/>
  <c r="DC7" i="1"/>
  <c r="CY18" i="1"/>
  <c r="DG5" i="1"/>
  <c r="BA11" i="1"/>
  <c r="AW19" i="1"/>
  <c r="DQ23" i="1"/>
  <c r="DQ24" i="1" s="1"/>
  <c r="DQ25" i="1" s="1"/>
  <c r="DQ5" i="1"/>
  <c r="DQ8" i="1"/>
  <c r="N6" i="1"/>
  <c r="N5" i="1"/>
  <c r="N8" i="1"/>
  <c r="X26" i="1"/>
  <c r="BD5" i="1"/>
  <c r="CJ5" i="1"/>
  <c r="AJ23" i="1"/>
  <c r="AJ24" i="1" s="1"/>
  <c r="AJ25" i="1" s="1"/>
  <c r="BH26" i="1"/>
  <c r="P23" i="1"/>
  <c r="P24" i="1" s="1"/>
  <c r="P25" i="1" s="1"/>
  <c r="AE18" i="1"/>
  <c r="DG23" i="1"/>
  <c r="DG24" i="1" s="1"/>
  <c r="DG25" i="1" s="1"/>
  <c r="CH18" i="1"/>
  <c r="CH23" i="1"/>
  <c r="CH24" i="1" s="1"/>
  <c r="CH25" i="1" s="1"/>
  <c r="CH8" i="1"/>
  <c r="CH5" i="1"/>
  <c r="CH7" i="1" s="1"/>
  <c r="CM23" i="1"/>
  <c r="CM24" i="1" s="1"/>
  <c r="CM25" i="1" s="1"/>
  <c r="CM18" i="1"/>
  <c r="AG23" i="1"/>
  <c r="AG24" i="1" s="1"/>
  <c r="AG25" i="1" s="1"/>
  <c r="AF23" i="1"/>
  <c r="AF24" i="1" s="1"/>
  <c r="AF25" i="1" s="1"/>
  <c r="DK23" i="1"/>
  <c r="DK24" i="1" s="1"/>
  <c r="DK25" i="1" s="1"/>
  <c r="AG18" i="1"/>
  <c r="DK18" i="1"/>
  <c r="AF18" i="1"/>
  <c r="Y18" i="1"/>
  <c r="Y23" i="1"/>
  <c r="Y24" i="1" s="1"/>
  <c r="Y25" i="1" s="1"/>
  <c r="Y5" i="1"/>
  <c r="Y8" i="1"/>
  <c r="U18" i="1"/>
  <c r="S18" i="1"/>
  <c r="T18" i="1"/>
  <c r="X23" i="1"/>
  <c r="X24" i="1" s="1"/>
  <c r="X25" i="1" s="1"/>
  <c r="BD18" i="1"/>
  <c r="CJ8" i="1"/>
  <c r="T5" i="1"/>
  <c r="Q8" i="1"/>
  <c r="P26" i="1"/>
  <c r="BE7" i="1"/>
  <c r="AE23" i="1"/>
  <c r="AE24" i="1" s="1"/>
  <c r="AE25" i="1" s="1"/>
  <c r="DG18" i="1"/>
  <c r="K8" i="1"/>
  <c r="K7" i="1"/>
  <c r="BM7" i="1"/>
  <c r="AK5" i="1"/>
  <c r="BD23" i="1"/>
  <c r="BD24" i="1" s="1"/>
  <c r="BD25" i="1" s="1"/>
  <c r="CJ23" i="1"/>
  <c r="CJ24" i="1" s="1"/>
  <c r="CJ25" i="1" s="1"/>
  <c r="T26" i="1"/>
  <c r="DO7" i="1"/>
  <c r="DO6" i="1"/>
  <c r="Q5" i="1"/>
  <c r="AB6" i="1"/>
  <c r="AB7" i="1"/>
  <c r="AE26" i="1"/>
  <c r="L7" i="1"/>
  <c r="L8" i="1"/>
  <c r="DG26" i="1"/>
  <c r="BH23" i="1"/>
  <c r="BH24" i="1" s="1"/>
  <c r="BH25" i="1" s="1"/>
  <c r="BJ25" i="1"/>
  <c r="BB24" i="1"/>
  <c r="BB25" i="1" s="1"/>
  <c r="AD26" i="1"/>
  <c r="AD23" i="1"/>
  <c r="AD24" i="1" s="1"/>
  <c r="AD25" i="1" s="1"/>
  <c r="AD5" i="1"/>
  <c r="AD7" i="1" s="1"/>
  <c r="AD8" i="1"/>
  <c r="AD18" i="1"/>
  <c r="BN24" i="1"/>
  <c r="BN25" i="1" s="1"/>
  <c r="M18" i="1"/>
  <c r="M23" i="1"/>
  <c r="M24" i="1" s="1"/>
  <c r="M25" i="1" s="1"/>
  <c r="M5" i="1"/>
  <c r="AW16" i="1"/>
  <c r="K26" i="1"/>
  <c r="V26" i="1"/>
  <c r="V23" i="1"/>
  <c r="V24" i="1" s="1"/>
  <c r="V25" i="1" s="1"/>
  <c r="V4" i="1"/>
  <c r="V8" i="1"/>
  <c r="V18" i="1"/>
  <c r="V5" i="1"/>
  <c r="CG24" i="1"/>
  <c r="CG25" i="1" s="1"/>
  <c r="R23" i="1"/>
  <c r="R24" i="1" s="1"/>
  <c r="R25" i="1" s="1"/>
  <c r="R26" i="1"/>
  <c r="R18" i="1"/>
  <c r="R5" i="1"/>
  <c r="R8" i="1"/>
  <c r="BZ24" i="1"/>
  <c r="BZ25" i="1" s="1"/>
  <c r="CO25" i="1"/>
  <c r="AK23" i="1"/>
  <c r="AK24" i="1" s="1"/>
  <c r="AK25" i="1" s="1"/>
  <c r="BD26" i="1"/>
  <c r="CJ26" i="1"/>
  <c r="T23" i="1"/>
  <c r="T24" i="1" s="1"/>
  <c r="T25" i="1" s="1"/>
  <c r="Q26" i="1"/>
  <c r="EC5" i="1"/>
  <c r="AC8" i="1"/>
  <c r="AI7" i="1"/>
  <c r="X5" i="1"/>
  <c r="AH26" i="1"/>
  <c r="AH23" i="1"/>
  <c r="AH24" i="1" s="1"/>
  <c r="AH25" i="1" s="1"/>
  <c r="AH18" i="1"/>
  <c r="AH4" i="1"/>
  <c r="AH8" i="1"/>
  <c r="AH5" i="1"/>
  <c r="DE24" i="1"/>
  <c r="DE25" i="1" s="1"/>
  <c r="AS14" i="1"/>
  <c r="J26" i="1"/>
  <c r="J4" i="1"/>
  <c r="F23" i="1"/>
  <c r="F24" i="1" s="1"/>
  <c r="F25" i="1" s="1"/>
  <c r="F18" i="1"/>
  <c r="F5" i="1"/>
  <c r="F7" i="1" s="1"/>
  <c r="DA25" i="1"/>
  <c r="K23" i="1"/>
  <c r="K24" i="1" s="1"/>
  <c r="K25" i="1" s="1"/>
  <c r="AK18" i="1"/>
  <c r="BU7" i="1"/>
  <c r="CJ18" i="1"/>
  <c r="D5" i="1"/>
  <c r="Q18" i="1"/>
  <c r="AG5" i="1"/>
  <c r="EC8" i="1"/>
  <c r="AC5" i="1"/>
  <c r="DP23" i="1"/>
  <c r="DP24" i="1" s="1"/>
  <c r="DP25" i="1" s="1"/>
  <c r="DP5" i="1"/>
  <c r="DP7" i="1" s="1"/>
  <c r="DP8" i="1"/>
  <c r="AK26" i="1"/>
  <c r="D18" i="1"/>
  <c r="CI7" i="1"/>
  <c r="CI6" i="1"/>
  <c r="Q23" i="1"/>
  <c r="Q24" i="1" s="1"/>
  <c r="Q25" i="1" s="1"/>
  <c r="EC23" i="1"/>
  <c r="EC24" i="1" s="1"/>
  <c r="EC25" i="1" s="1"/>
  <c r="AC18" i="1"/>
  <c r="DW7" i="1"/>
  <c r="DW6" i="1"/>
  <c r="AQ7" i="1"/>
  <c r="Z26" i="1"/>
  <c r="Z4" i="1"/>
  <c r="N24" i="1"/>
  <c r="N25" i="1" s="1"/>
  <c r="AW13" i="1"/>
  <c r="I26" i="1"/>
  <c r="AQ24" i="1"/>
  <c r="AQ25" i="1" s="1"/>
  <c r="DY24" i="1"/>
  <c r="Y26" i="1"/>
  <c r="CK7" i="1"/>
  <c r="U8" i="1"/>
  <c r="U7" i="1"/>
  <c r="BI7" i="1"/>
  <c r="D23" i="1"/>
  <c r="D24" i="1" s="1"/>
  <c r="D25" i="1" s="1"/>
  <c r="CF7" i="1"/>
  <c r="EC18" i="1"/>
  <c r="AC23" i="1"/>
  <c r="AC24" i="1" s="1"/>
  <c r="AC25" i="1" s="1"/>
  <c r="CY8" i="1"/>
  <c r="BQ7" i="1"/>
  <c r="CW25" i="1"/>
  <c r="W25" i="1"/>
  <c r="AP26" i="1"/>
  <c r="AP4" i="1"/>
  <c r="AS13" i="1"/>
  <c r="BA16" i="1"/>
  <c r="CS24" i="1"/>
  <c r="CS25" i="1" s="1"/>
  <c r="S5" i="1"/>
  <c r="BA10" i="1"/>
  <c r="ED26" i="1"/>
  <c r="ED23" i="1"/>
  <c r="ED24" i="1" s="1"/>
  <c r="ED25" i="1" s="1"/>
  <c r="ED18" i="1"/>
  <c r="ED5" i="1"/>
  <c r="ED8" i="1"/>
  <c r="M26" i="1"/>
  <c r="CU6" i="1"/>
  <c r="CU7" i="1" s="1"/>
  <c r="AC26" i="1"/>
  <c r="EB7" i="1"/>
  <c r="CY5" i="1"/>
  <c r="BX23" i="1"/>
  <c r="BX24" i="1" s="1"/>
  <c r="BX25" i="1" s="1"/>
  <c r="BX18" i="1"/>
  <c r="BX8" i="1"/>
  <c r="BX5" i="1"/>
  <c r="DV23" i="1"/>
  <c r="DV24" i="1" s="1"/>
  <c r="DV25" i="1" s="1"/>
  <c r="DV5" i="1"/>
  <c r="DV7" i="1" s="1"/>
  <c r="DV8" i="1"/>
  <c r="CB18" i="1"/>
  <c r="CB23" i="1"/>
  <c r="CB24" i="1" s="1"/>
  <c r="CB25" i="1" s="1"/>
  <c r="CB5" i="1"/>
  <c r="S25" i="1"/>
  <c r="CL26" i="1"/>
  <c r="CL18" i="1"/>
  <c r="CL23" i="1"/>
  <c r="CL24" i="1" s="1"/>
  <c r="CL25" i="1" s="1"/>
  <c r="CL8" i="1"/>
  <c r="CL5" i="1"/>
  <c r="CL7" i="1" s="1"/>
  <c r="AO26" i="1"/>
  <c r="AS10" i="1"/>
  <c r="DN6" i="1"/>
  <c r="DN5" i="1"/>
  <c r="DN8" i="1"/>
  <c r="CB26" i="1"/>
  <c r="O7" i="1"/>
  <c r="B7" i="1"/>
  <c r="O24" i="1"/>
  <c r="O25" i="1" s="1"/>
  <c r="DR23" i="1"/>
  <c r="DR24" i="1" s="1"/>
  <c r="DR25" i="1" s="1"/>
  <c r="DR5" i="1"/>
  <c r="DR8" i="1"/>
  <c r="DK5" i="1"/>
  <c r="DY25" i="1" l="1"/>
  <c r="D8" i="1"/>
  <c r="D7" i="1" s="1"/>
  <c r="DG8" i="1"/>
  <c r="DG7" i="1" s="1"/>
  <c r="CY6" i="1"/>
  <c r="CY7" i="1" s="1"/>
  <c r="V7" i="1"/>
  <c r="CJ7" i="1"/>
  <c r="CJ6" i="1"/>
  <c r="AH7" i="1"/>
  <c r="BD8" i="1"/>
  <c r="BD7" i="1"/>
  <c r="CB8" i="1"/>
  <c r="CB7" i="1"/>
  <c r="S8" i="1"/>
  <c r="S7" i="1" s="1"/>
  <c r="Y6" i="1"/>
  <c r="Y7" i="1"/>
  <c r="DN7" i="1"/>
  <c r="Z18" i="1"/>
  <c r="Z23" i="1"/>
  <c r="Z24" i="1" s="1"/>
  <c r="Z25" i="1" s="1"/>
  <c r="Z5" i="1"/>
  <c r="N7" i="1"/>
  <c r="P7" i="1"/>
  <c r="AZ7" i="1"/>
  <c r="BH8" i="1"/>
  <c r="BH7" i="1" s="1"/>
  <c r="T8" i="1"/>
  <c r="T7" i="1"/>
  <c r="AO7" i="1"/>
  <c r="AO6" i="1"/>
  <c r="DK8" i="1"/>
  <c r="DK7" i="1" s="1"/>
  <c r="AP23" i="1"/>
  <c r="AP24" i="1" s="1"/>
  <c r="AP25" i="1" s="1"/>
  <c r="AP18" i="1"/>
  <c r="AP5" i="1"/>
  <c r="AC6" i="1"/>
  <c r="AC7" i="1" s="1"/>
  <c r="X8" i="1"/>
  <c r="X7" i="1" s="1"/>
  <c r="DQ7" i="1"/>
  <c r="CM8" i="1"/>
  <c r="CM7" i="1" s="1"/>
  <c r="BX6" i="1"/>
  <c r="BX7" i="1"/>
  <c r="M7" i="1"/>
  <c r="M8" i="1"/>
  <c r="DR7" i="1"/>
  <c r="AG8" i="1"/>
  <c r="AG7" i="1"/>
  <c r="J23" i="1"/>
  <c r="J24" i="1" s="1"/>
  <c r="J25" i="1" s="1"/>
  <c r="J18" i="1"/>
  <c r="J8" i="1"/>
  <c r="J5" i="1"/>
  <c r="AK8" i="1"/>
  <c r="AK7" i="1" s="1"/>
  <c r="I6" i="1"/>
  <c r="I7" i="1"/>
  <c r="Z8" i="1" l="1"/>
  <c r="Z7" i="1" s="1"/>
  <c r="J6" i="1"/>
  <c r="J7" i="1" s="1"/>
  <c r="AP8" i="1"/>
  <c r="AP7" i="1" s="1"/>
  <c r="BJ4" i="1" l="1"/>
  <c r="AY4" i="1"/>
  <c r="BC4" i="1"/>
  <c r="CA4" i="1"/>
  <c r="AU4" i="1"/>
  <c r="AX4" i="1"/>
  <c r="BG4" i="1"/>
  <c r="BZ4" i="1"/>
  <c r="BZ3" i="1" s="1"/>
  <c r="DJ4" i="1"/>
  <c r="BR4" i="1"/>
  <c r="CS4" i="1"/>
  <c r="CS3" i="1" s="1"/>
  <c r="DI4" i="1"/>
  <c r="DI3" i="1" s="1"/>
  <c r="CX4" i="1"/>
  <c r="DF4" i="1"/>
  <c r="DZ4" i="1"/>
  <c r="BS4" i="1"/>
  <c r="CE4" i="1"/>
  <c r="AT4" i="1"/>
  <c r="CO4" i="1"/>
  <c r="CO3" i="1" s="1"/>
  <c r="BK4" i="1"/>
  <c r="DE4" i="1"/>
  <c r="DE3" i="1" s="1"/>
  <c r="CW4" i="1"/>
  <c r="CW3" i="1" s="1"/>
  <c r="BO4" i="1"/>
  <c r="BV4" i="1"/>
  <c r="CD4" i="1"/>
  <c r="CD3" i="1" s="1"/>
  <c r="BW4" i="1"/>
  <c r="CT4" i="1"/>
  <c r="CP4" i="1"/>
  <c r="BN4" i="1"/>
  <c r="BB4" i="1"/>
  <c r="BF4" i="1"/>
  <c r="DY4" i="1"/>
  <c r="DB4" i="1"/>
  <c r="DA4" i="1"/>
  <c r="DA3" i="1" s="1"/>
  <c r="DB18" i="1" l="1"/>
  <c r="CZ18" i="1" s="1"/>
  <c r="DB26" i="1"/>
  <c r="CZ26" i="1" s="1"/>
  <c r="CZ4" i="1"/>
  <c r="DB3" i="1"/>
  <c r="DB5" i="1"/>
  <c r="DB8" i="1"/>
  <c r="CZ8" i="1" s="1"/>
  <c r="CP18" i="1"/>
  <c r="CN18" i="1" s="1"/>
  <c r="CN4" i="1"/>
  <c r="CP3" i="1"/>
  <c r="CP8" i="1"/>
  <c r="CN8" i="1" s="1"/>
  <c r="CP5" i="1"/>
  <c r="AS4" i="1"/>
  <c r="AU3" i="1"/>
  <c r="BS18" i="1"/>
  <c r="BQ18" i="1" s="1"/>
  <c r="BS3" i="1"/>
  <c r="BS8" i="1"/>
  <c r="BS5" i="1"/>
  <c r="BS7" i="1" s="1"/>
  <c r="DX4" i="1"/>
  <c r="DY3" i="1"/>
  <c r="BR3" i="1"/>
  <c r="BR6" i="1"/>
  <c r="BR8" i="1"/>
  <c r="BR5" i="1"/>
  <c r="CA18" i="1"/>
  <c r="BY18" i="1" s="1"/>
  <c r="CA5" i="1"/>
  <c r="BY4" i="1"/>
  <c r="CA3" i="1"/>
  <c r="CT26" i="1"/>
  <c r="CR26" i="1" s="1"/>
  <c r="CT18" i="1"/>
  <c r="CR18" i="1" s="1"/>
  <c r="CT5" i="1"/>
  <c r="CR4" i="1"/>
  <c r="CT3" i="1"/>
  <c r="DZ3" i="1"/>
  <c r="DZ8" i="1"/>
  <c r="DX8" i="1" s="1"/>
  <c r="DZ6" i="1"/>
  <c r="DX6" i="1" s="1"/>
  <c r="DZ5" i="1"/>
  <c r="BF6" i="1"/>
  <c r="BF3" i="1"/>
  <c r="BF8" i="1"/>
  <c r="BF5" i="1"/>
  <c r="BF7" i="1" s="1"/>
  <c r="DJ26" i="1"/>
  <c r="DH26" i="1" s="1"/>
  <c r="DJ5" i="1"/>
  <c r="DH4" i="1"/>
  <c r="DJ3" i="1"/>
  <c r="DJ18" i="1"/>
  <c r="DH18" i="1" s="1"/>
  <c r="BW18" i="1"/>
  <c r="BU18" i="1" s="1"/>
  <c r="BW8" i="1"/>
  <c r="BW5" i="1"/>
  <c r="BW3" i="1"/>
  <c r="BK18" i="1"/>
  <c r="BI18" i="1" s="1"/>
  <c r="BK5" i="1"/>
  <c r="BK7" i="1" s="1"/>
  <c r="BK3" i="1"/>
  <c r="DF26" i="1"/>
  <c r="DD26" i="1" s="1"/>
  <c r="DF18" i="1"/>
  <c r="DD18" i="1" s="1"/>
  <c r="DF5" i="1"/>
  <c r="DD4" i="1"/>
  <c r="DF3" i="1"/>
  <c r="BC26" i="1"/>
  <c r="BA26" i="1" s="1"/>
  <c r="BC23" i="1"/>
  <c r="BC18" i="1"/>
  <c r="BA18" i="1" s="1"/>
  <c r="BC5" i="1"/>
  <c r="BA4" i="1"/>
  <c r="BC3" i="1"/>
  <c r="CX18" i="1"/>
  <c r="CV18" i="1" s="1"/>
  <c r="CX26" i="1"/>
  <c r="CV26" i="1" s="1"/>
  <c r="CX5" i="1"/>
  <c r="CX8" i="1"/>
  <c r="CV8" i="1" s="1"/>
  <c r="CV4" i="1"/>
  <c r="CX3" i="1"/>
  <c r="BB6" i="1"/>
  <c r="BA6" i="1" s="1"/>
  <c r="BB5" i="1"/>
  <c r="BB3" i="1"/>
  <c r="BB8" i="1"/>
  <c r="BG19" i="1"/>
  <c r="BE19" i="1" s="1"/>
  <c r="BG26" i="1"/>
  <c r="BE26" i="1" s="1"/>
  <c r="BG18" i="1"/>
  <c r="BE18" i="1" s="1"/>
  <c r="BG3" i="1"/>
  <c r="BG5" i="1"/>
  <c r="AY18" i="1"/>
  <c r="AW18" i="1" s="1"/>
  <c r="AY5" i="1"/>
  <c r="AW4" i="1"/>
  <c r="AY3" i="1"/>
  <c r="AY8" i="1"/>
  <c r="BV8" i="1"/>
  <c r="BV6" i="1"/>
  <c r="BV5" i="1"/>
  <c r="BV7" i="1" s="1"/>
  <c r="BV3" i="1"/>
  <c r="AT3" i="1"/>
  <c r="AT8" i="1"/>
  <c r="AT6" i="1"/>
  <c r="AS6" i="1" s="1"/>
  <c r="AT5" i="1"/>
  <c r="BN5" i="1"/>
  <c r="BN7" i="1" s="1"/>
  <c r="BN3" i="1"/>
  <c r="BN6" i="1"/>
  <c r="BN8" i="1"/>
  <c r="AX8" i="1"/>
  <c r="AX6" i="1"/>
  <c r="AW6" i="1" s="1"/>
  <c r="AX5" i="1"/>
  <c r="AX3" i="1"/>
  <c r="BJ8" i="1"/>
  <c r="BJ5" i="1"/>
  <c r="BJ6" i="1"/>
  <c r="BJ3" i="1"/>
  <c r="BO18" i="1"/>
  <c r="BM18" i="1" s="1"/>
  <c r="BO5" i="1"/>
  <c r="BO7" i="1" s="1"/>
  <c r="BO3" i="1"/>
  <c r="CC4" i="1"/>
  <c r="CE3" i="1"/>
  <c r="CE8" i="1"/>
  <c r="CC8" i="1" s="1"/>
  <c r="CE6" i="1"/>
  <c r="CC6" i="1" s="1"/>
  <c r="CE5" i="1"/>
  <c r="BC7" i="1" l="1"/>
  <c r="BA5" i="1"/>
  <c r="BC8" i="1"/>
  <c r="BA8" i="1" s="1"/>
  <c r="CT21" i="1"/>
  <c r="CR21" i="1" s="1"/>
  <c r="CT17" i="1"/>
  <c r="CR17" i="1" s="1"/>
  <c r="CT22" i="1"/>
  <c r="CR22" i="1" s="1"/>
  <c r="CT20" i="1"/>
  <c r="CR20" i="1" s="1"/>
  <c r="CT14" i="1"/>
  <c r="CR14" i="1" s="1"/>
  <c r="CT16" i="1"/>
  <c r="CR16" i="1" s="1"/>
  <c r="CT13" i="1"/>
  <c r="CR13" i="1" s="1"/>
  <c r="CT12" i="1"/>
  <c r="CR12" i="1" s="1"/>
  <c r="CT19" i="1"/>
  <c r="CR19" i="1" s="1"/>
  <c r="CT11" i="1"/>
  <c r="CR11" i="1" s="1"/>
  <c r="CT10" i="1"/>
  <c r="CR3" i="1"/>
  <c r="CT15" i="1"/>
  <c r="CR15" i="1" s="1"/>
  <c r="CP19" i="1"/>
  <c r="CN19" i="1" s="1"/>
  <c r="CP21" i="1"/>
  <c r="CN21" i="1" s="1"/>
  <c r="CP22" i="1"/>
  <c r="CN22" i="1" s="1"/>
  <c r="CP10" i="1"/>
  <c r="CP15" i="1"/>
  <c r="CN15" i="1" s="1"/>
  <c r="CP14" i="1"/>
  <c r="CN14" i="1" s="1"/>
  <c r="CP16" i="1"/>
  <c r="CN16" i="1" s="1"/>
  <c r="CP13" i="1"/>
  <c r="CN13" i="1" s="1"/>
  <c r="CP20" i="1"/>
  <c r="CN20" i="1" s="1"/>
  <c r="CP17" i="1"/>
  <c r="CN17" i="1" s="1"/>
  <c r="CP11" i="1"/>
  <c r="CN11" i="1" s="1"/>
  <c r="CN3" i="1"/>
  <c r="CP12" i="1"/>
  <c r="CN12" i="1" s="1"/>
  <c r="CE7" i="1"/>
  <c r="CC5" i="1"/>
  <c r="CC7" i="1" s="1"/>
  <c r="BJ7" i="1"/>
  <c r="DF7" i="1"/>
  <c r="DD7" i="1" s="1"/>
  <c r="DF8" i="1"/>
  <c r="DD8" i="1" s="1"/>
  <c r="DD5" i="1"/>
  <c r="DJ7" i="1"/>
  <c r="DH7" i="1" s="1"/>
  <c r="DJ8" i="1"/>
  <c r="DH8" i="1" s="1"/>
  <c r="DH5" i="1"/>
  <c r="CX21" i="1"/>
  <c r="CV21" i="1" s="1"/>
  <c r="CX20" i="1"/>
  <c r="CV20" i="1" s="1"/>
  <c r="CX16" i="1"/>
  <c r="CV16" i="1" s="1"/>
  <c r="CX22" i="1"/>
  <c r="CV22" i="1" s="1"/>
  <c r="CX19" i="1"/>
  <c r="CV19" i="1" s="1"/>
  <c r="CX12" i="1"/>
  <c r="CV12" i="1" s="1"/>
  <c r="CX11" i="1"/>
  <c r="CV11" i="1" s="1"/>
  <c r="CX10" i="1"/>
  <c r="CX15" i="1"/>
  <c r="CV15" i="1" s="1"/>
  <c r="CX13" i="1"/>
  <c r="CV13" i="1" s="1"/>
  <c r="CX14" i="1"/>
  <c r="CV14" i="1" s="1"/>
  <c r="CV3" i="1"/>
  <c r="CX17" i="1"/>
  <c r="CV17" i="1" s="1"/>
  <c r="BC24" i="1"/>
  <c r="BA23" i="1"/>
  <c r="CT6" i="1"/>
  <c r="CR6" i="1" s="1"/>
  <c r="CT7" i="1"/>
  <c r="CR7" i="1" s="1"/>
  <c r="CR5" i="1"/>
  <c r="CA21" i="1"/>
  <c r="BY21" i="1" s="1"/>
  <c r="CA26" i="1"/>
  <c r="BY26" i="1" s="1"/>
  <c r="CA19" i="1"/>
  <c r="BY19" i="1" s="1"/>
  <c r="CA16" i="1"/>
  <c r="BY16" i="1" s="1"/>
  <c r="CA22" i="1"/>
  <c r="BY22" i="1" s="1"/>
  <c r="CA20" i="1"/>
  <c r="BY20" i="1" s="1"/>
  <c r="CA11" i="1"/>
  <c r="BY11" i="1" s="1"/>
  <c r="CA10" i="1"/>
  <c r="CA15" i="1"/>
  <c r="BY15" i="1" s="1"/>
  <c r="CA17" i="1"/>
  <c r="BY17" i="1" s="1"/>
  <c r="CA13" i="1"/>
  <c r="BY13" i="1" s="1"/>
  <c r="CA14" i="1"/>
  <c r="BY14" i="1" s="1"/>
  <c r="CA12" i="1"/>
  <c r="BY12" i="1" s="1"/>
  <c r="BY3" i="1"/>
  <c r="BS19" i="1"/>
  <c r="BQ19" i="1" s="1"/>
  <c r="BS22" i="1"/>
  <c r="BQ22" i="1" s="1"/>
  <c r="BS20" i="1"/>
  <c r="BQ20" i="1" s="1"/>
  <c r="BS21" i="1"/>
  <c r="BQ21" i="1" s="1"/>
  <c r="BS17" i="1"/>
  <c r="BQ17" i="1" s="1"/>
  <c r="BS16" i="1"/>
  <c r="BQ16" i="1" s="1"/>
  <c r="BS15" i="1"/>
  <c r="BQ15" i="1" s="1"/>
  <c r="BS14" i="1"/>
  <c r="BQ14" i="1" s="1"/>
  <c r="BS13" i="1"/>
  <c r="BQ13" i="1" s="1"/>
  <c r="BS11" i="1"/>
  <c r="BQ11" i="1" s="1"/>
  <c r="BS10" i="1"/>
  <c r="BS12" i="1"/>
  <c r="BQ12" i="1" s="1"/>
  <c r="CE19" i="1"/>
  <c r="CC19" i="1" s="1"/>
  <c r="CE22" i="1"/>
  <c r="CC22" i="1" s="1"/>
  <c r="CE20" i="1"/>
  <c r="CC20" i="1" s="1"/>
  <c r="CE17" i="1"/>
  <c r="CC17" i="1" s="1"/>
  <c r="CE21" i="1"/>
  <c r="CC21" i="1" s="1"/>
  <c r="CE16" i="1"/>
  <c r="CC16" i="1" s="1"/>
  <c r="CE15" i="1"/>
  <c r="CC15" i="1" s="1"/>
  <c r="CE14" i="1"/>
  <c r="CC14" i="1" s="1"/>
  <c r="CE13" i="1"/>
  <c r="CC13" i="1" s="1"/>
  <c r="CE12" i="1"/>
  <c r="CC12" i="1" s="1"/>
  <c r="CC3" i="1"/>
  <c r="CE11" i="1"/>
  <c r="CC11" i="1" s="1"/>
  <c r="CE10" i="1"/>
  <c r="AX7" i="1"/>
  <c r="AW8" i="1"/>
  <c r="AU26" i="1"/>
  <c r="AS26" i="1" s="1"/>
  <c r="AU23" i="1"/>
  <c r="AU18" i="1"/>
  <c r="AS18" i="1" s="1"/>
  <c r="AU8" i="1"/>
  <c r="AS8" i="1" s="1"/>
  <c r="AS3" i="1"/>
  <c r="AU5" i="1"/>
  <c r="AY26" i="1"/>
  <c r="AW26" i="1" s="1"/>
  <c r="AY23" i="1"/>
  <c r="AW3" i="1"/>
  <c r="CV5" i="1"/>
  <c r="CX6" i="1"/>
  <c r="CV6" i="1" s="1"/>
  <c r="BK19" i="1"/>
  <c r="BI19" i="1" s="1"/>
  <c r="BK17" i="1"/>
  <c r="BI17" i="1" s="1"/>
  <c r="BK16" i="1"/>
  <c r="BI16" i="1" s="1"/>
  <c r="BK22" i="1"/>
  <c r="BI22" i="1" s="1"/>
  <c r="BK21" i="1"/>
  <c r="BI21" i="1" s="1"/>
  <c r="BK13" i="1"/>
  <c r="BI13" i="1" s="1"/>
  <c r="BK12" i="1"/>
  <c r="BI12" i="1" s="1"/>
  <c r="BK11" i="1"/>
  <c r="BI11" i="1" s="1"/>
  <c r="BK20" i="1"/>
  <c r="BI20" i="1" s="1"/>
  <c r="BK15" i="1"/>
  <c r="BI15" i="1" s="1"/>
  <c r="BK10" i="1"/>
  <c r="BK14" i="1"/>
  <c r="BI14" i="1" s="1"/>
  <c r="BY5" i="1"/>
  <c r="CA8" i="1"/>
  <c r="BY8" i="1" s="1"/>
  <c r="CZ5" i="1"/>
  <c r="DB7" i="1"/>
  <c r="CZ7" i="1" s="1"/>
  <c r="BO21" i="1"/>
  <c r="BM21" i="1" s="1"/>
  <c r="BO16" i="1"/>
  <c r="BM16" i="1" s="1"/>
  <c r="BO22" i="1"/>
  <c r="BM22" i="1" s="1"/>
  <c r="BO20" i="1"/>
  <c r="BM20" i="1" s="1"/>
  <c r="BO17" i="1"/>
  <c r="BM17" i="1" s="1"/>
  <c r="BO11" i="1"/>
  <c r="BM11" i="1" s="1"/>
  <c r="BO10" i="1"/>
  <c r="BO19" i="1"/>
  <c r="BM19" i="1" s="1"/>
  <c r="BO15" i="1"/>
  <c r="BM15" i="1" s="1"/>
  <c r="BO12" i="1"/>
  <c r="BM12" i="1" s="1"/>
  <c r="BO14" i="1"/>
  <c r="BM14" i="1" s="1"/>
  <c r="BO13" i="1"/>
  <c r="BM13" i="1" s="1"/>
  <c r="DB19" i="1"/>
  <c r="CZ19" i="1" s="1"/>
  <c r="DB21" i="1"/>
  <c r="CZ21" i="1" s="1"/>
  <c r="DB10" i="1"/>
  <c r="DB15" i="1"/>
  <c r="CZ15" i="1" s="1"/>
  <c r="DB14" i="1"/>
  <c r="CZ14" i="1" s="1"/>
  <c r="DB22" i="1"/>
  <c r="CZ22" i="1" s="1"/>
  <c r="DB20" i="1"/>
  <c r="CZ20" i="1" s="1"/>
  <c r="DB17" i="1"/>
  <c r="CZ17" i="1" s="1"/>
  <c r="DB13" i="1"/>
  <c r="CZ13" i="1" s="1"/>
  <c r="CZ3" i="1"/>
  <c r="DB12" i="1"/>
  <c r="CZ12" i="1" s="1"/>
  <c r="DB16" i="1"/>
  <c r="CZ16" i="1" s="1"/>
  <c r="DB11" i="1"/>
  <c r="CZ11" i="1" s="1"/>
  <c r="AT7" i="1"/>
  <c r="AY7" i="1"/>
  <c r="AW5" i="1"/>
  <c r="BB7" i="1"/>
  <c r="DZ7" i="1"/>
  <c r="DX7" i="1" s="1"/>
  <c r="DX5" i="1"/>
  <c r="BR7" i="1"/>
  <c r="BG20" i="1"/>
  <c r="BE20" i="1" s="1"/>
  <c r="BG8" i="1"/>
  <c r="BG7" i="1"/>
  <c r="BW26" i="1"/>
  <c r="BU26" i="1" s="1"/>
  <c r="BW20" i="1"/>
  <c r="BU20" i="1" s="1"/>
  <c r="BW21" i="1"/>
  <c r="BU21" i="1" s="1"/>
  <c r="BW17" i="1"/>
  <c r="BU17" i="1" s="1"/>
  <c r="BW19" i="1"/>
  <c r="BU19" i="1" s="1"/>
  <c r="BW16" i="1"/>
  <c r="BU16" i="1" s="1"/>
  <c r="BW22" i="1"/>
  <c r="BU22" i="1" s="1"/>
  <c r="BW13" i="1"/>
  <c r="BU13" i="1" s="1"/>
  <c r="BW12" i="1"/>
  <c r="BU12" i="1" s="1"/>
  <c r="BW11" i="1"/>
  <c r="BU11" i="1" s="1"/>
  <c r="BW14" i="1"/>
  <c r="BU14" i="1" s="1"/>
  <c r="BW15" i="1"/>
  <c r="BU15" i="1" s="1"/>
  <c r="BW10" i="1"/>
  <c r="BG21" i="1"/>
  <c r="BE21" i="1" s="1"/>
  <c r="BG17" i="1"/>
  <c r="BE17" i="1" s="1"/>
  <c r="BG16" i="1"/>
  <c r="BE16" i="1" s="1"/>
  <c r="BG15" i="1"/>
  <c r="BE15" i="1" s="1"/>
  <c r="BG14" i="1"/>
  <c r="BE14" i="1" s="1"/>
  <c r="BG13" i="1"/>
  <c r="BE13" i="1" s="1"/>
  <c r="BG22" i="1"/>
  <c r="BE22" i="1" s="1"/>
  <c r="BG12" i="1"/>
  <c r="BE12" i="1" s="1"/>
  <c r="BG11" i="1"/>
  <c r="BE11" i="1" s="1"/>
  <c r="BG10" i="1"/>
  <c r="BA3" i="1"/>
  <c r="BW6" i="1"/>
  <c r="BW7" i="1" s="1"/>
  <c r="CN5" i="1"/>
  <c r="CN7" i="1" s="1"/>
  <c r="CP7" i="1"/>
  <c r="DF21" i="1"/>
  <c r="DD21" i="1" s="1"/>
  <c r="DF17" i="1"/>
  <c r="DD17" i="1" s="1"/>
  <c r="DF22" i="1"/>
  <c r="DD22" i="1" s="1"/>
  <c r="DF14" i="1"/>
  <c r="DD14" i="1" s="1"/>
  <c r="DF20" i="1"/>
  <c r="DD20" i="1" s="1"/>
  <c r="DF13" i="1"/>
  <c r="DD13" i="1" s="1"/>
  <c r="DF19" i="1"/>
  <c r="DD19" i="1" s="1"/>
  <c r="DF12" i="1"/>
  <c r="DD12" i="1" s="1"/>
  <c r="DF11" i="1"/>
  <c r="DD11" i="1" s="1"/>
  <c r="DF16" i="1"/>
  <c r="DD16" i="1" s="1"/>
  <c r="DD3" i="1"/>
  <c r="DF10" i="1"/>
  <c r="DF15" i="1"/>
  <c r="DD15" i="1" s="1"/>
  <c r="DJ21" i="1"/>
  <c r="DJ16" i="1"/>
  <c r="DH16" i="1" s="1"/>
  <c r="DJ20" i="1"/>
  <c r="DH20" i="1" s="1"/>
  <c r="DJ22" i="1"/>
  <c r="DH22" i="1" s="1"/>
  <c r="DJ12" i="1"/>
  <c r="DH12" i="1" s="1"/>
  <c r="DJ19" i="1"/>
  <c r="DH19" i="1" s="1"/>
  <c r="DJ11" i="1"/>
  <c r="DH11" i="1" s="1"/>
  <c r="DJ17" i="1"/>
  <c r="DH17" i="1" s="1"/>
  <c r="DJ10" i="1"/>
  <c r="DH10" i="1" s="1"/>
  <c r="DJ15" i="1"/>
  <c r="DH15" i="1" s="1"/>
  <c r="DJ14" i="1"/>
  <c r="DH14" i="1" s="1"/>
  <c r="DH3" i="1"/>
  <c r="DJ13" i="1"/>
  <c r="DH13" i="1" s="1"/>
  <c r="DZ19" i="1"/>
  <c r="DX19" i="1" s="1"/>
  <c r="DZ20" i="1"/>
  <c r="DX20" i="1" s="1"/>
  <c r="DZ22" i="1"/>
  <c r="DX22" i="1" s="1"/>
  <c r="DZ10" i="1"/>
  <c r="DZ21" i="1"/>
  <c r="DX21" i="1" s="1"/>
  <c r="DZ15" i="1"/>
  <c r="DX15" i="1" s="1"/>
  <c r="DZ14" i="1"/>
  <c r="DX14" i="1" s="1"/>
  <c r="DZ13" i="1"/>
  <c r="DX13" i="1" s="1"/>
  <c r="DZ17" i="1"/>
  <c r="DX17" i="1" s="1"/>
  <c r="DZ11" i="1"/>
  <c r="DX11" i="1" s="1"/>
  <c r="DX3" i="1"/>
  <c r="DZ16" i="1"/>
  <c r="DX16" i="1" s="1"/>
  <c r="DZ12" i="1"/>
  <c r="DX12" i="1" s="1"/>
  <c r="DH21" i="1" l="1"/>
  <c r="DJ23" i="1"/>
  <c r="CN10" i="1"/>
  <c r="CP23" i="1"/>
  <c r="BM10" i="1"/>
  <c r="BO23" i="1"/>
  <c r="BY7" i="1"/>
  <c r="DD10" i="1"/>
  <c r="DF23" i="1"/>
  <c r="AW7" i="1"/>
  <c r="CA7" i="1"/>
  <c r="AU7" i="1"/>
  <c r="AS5" i="1"/>
  <c r="AS7" i="1" s="1"/>
  <c r="CE24" i="1"/>
  <c r="CC10" i="1"/>
  <c r="BY10" i="1"/>
  <c r="CA23" i="1"/>
  <c r="CV10" i="1"/>
  <c r="CX23" i="1"/>
  <c r="BU10" i="1"/>
  <c r="BW23" i="1"/>
  <c r="BI10" i="1"/>
  <c r="BK23" i="1"/>
  <c r="AU24" i="1"/>
  <c r="AS23" i="1"/>
  <c r="CZ10" i="1"/>
  <c r="DB23" i="1"/>
  <c r="CX7" i="1"/>
  <c r="CV7" i="1" s="1"/>
  <c r="DZ24" i="1"/>
  <c r="DX10" i="1"/>
  <c r="BE10" i="1"/>
  <c r="BG23" i="1"/>
  <c r="CR10" i="1"/>
  <c r="CT23" i="1"/>
  <c r="AY24" i="1"/>
  <c r="AW23" i="1"/>
  <c r="BQ10" i="1"/>
  <c r="BS23" i="1"/>
  <c r="BA24" i="1"/>
  <c r="BA25" i="1" s="1"/>
  <c r="BC25" i="1"/>
  <c r="BA7" i="1"/>
  <c r="CX24" i="1" l="1"/>
  <c r="CV23" i="1"/>
  <c r="BS24" i="1"/>
  <c r="BQ23" i="1"/>
  <c r="CZ23" i="1"/>
  <c r="DB24" i="1"/>
  <c r="BE23" i="1"/>
  <c r="BG24" i="1"/>
  <c r="AY25" i="1"/>
  <c r="AW24" i="1"/>
  <c r="AW25" i="1" s="1"/>
  <c r="CR23" i="1"/>
  <c r="CT24" i="1"/>
  <c r="BK24" i="1"/>
  <c r="BI23" i="1"/>
  <c r="DD23" i="1"/>
  <c r="DF24" i="1"/>
  <c r="AU25" i="1"/>
  <c r="AS24" i="1"/>
  <c r="AS25" i="1" s="1"/>
  <c r="BY23" i="1"/>
  <c r="CA24" i="1"/>
  <c r="DZ25" i="1"/>
  <c r="DX24" i="1"/>
  <c r="DX25" i="1" s="1"/>
  <c r="BU23" i="1"/>
  <c r="BW24" i="1"/>
  <c r="CN23" i="1"/>
  <c r="CP24" i="1"/>
  <c r="DJ24" i="1"/>
  <c r="DH23" i="1"/>
  <c r="BO24" i="1"/>
  <c r="BM23" i="1"/>
  <c r="CE25" i="1"/>
  <c r="CC24" i="1"/>
  <c r="CC25" i="1" s="1"/>
  <c r="DF25" i="1" l="1"/>
  <c r="DD24" i="1"/>
  <c r="DD25" i="1" s="1"/>
  <c r="DJ25" i="1"/>
  <c r="DH24" i="1"/>
  <c r="DH25" i="1" s="1"/>
  <c r="BG25" i="1"/>
  <c r="BE24" i="1"/>
  <c r="BE25" i="1" s="1"/>
  <c r="CP25" i="1"/>
  <c r="CN24" i="1"/>
  <c r="CN25" i="1" s="1"/>
  <c r="BK25" i="1"/>
  <c r="BI24" i="1"/>
  <c r="BI25" i="1" s="1"/>
  <c r="CZ24" i="1"/>
  <c r="CZ25" i="1" s="1"/>
  <c r="DB25" i="1"/>
  <c r="BW25" i="1"/>
  <c r="BU24" i="1"/>
  <c r="BU25" i="1" s="1"/>
  <c r="CT25" i="1"/>
  <c r="CR24" i="1"/>
  <c r="CR25" i="1" s="1"/>
  <c r="BS25" i="1"/>
  <c r="BQ24" i="1"/>
  <c r="BQ25" i="1" s="1"/>
  <c r="BY24" i="1"/>
  <c r="BY25" i="1" s="1"/>
  <c r="CA25" i="1"/>
  <c r="CV24" i="1"/>
  <c r="CV25" i="1" s="1"/>
  <c r="CX25" i="1"/>
  <c r="BM24" i="1"/>
  <c r="BM25" i="1" s="1"/>
  <c r="BO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tc={73C1FAF4-DE0B-4C57-97AA-D17405D993CE}</author>
    <author>tc={59B0650C-D2C0-47EB-A581-5844E9E205B8}</author>
    <author>tc={E1B0312D-9C13-4A30-A015-8B874E3D0612}</author>
    <author>tc={2AE2B060-4D12-4768-9112-E58F9B0BC3E2}</author>
    <author>tc={A75EDD01-F3A8-4978-A533-2062DBB723A0}</author>
    <author>tc={A6B36609-E697-4721-B530-9908D4597213}</author>
    <author>tc={86132640-25EB-485F-9A30-C3790DD6D565}</author>
    <author>tc={3399C1DE-C73A-4E7D-A314-A98BE43ED45C}</author>
    <author>tc={D9F265CA-41A3-4CE0-A25C-7A7EF31DB9FF}</author>
    <author>tc={E84726C9-2F18-480F-9C16-CF6E94263893}</author>
    <author>tc={91C25886-298D-417D-95D0-0C2B18049A93}</author>
    <author>tc={0AE0FE4F-70AE-43B8-8505-C94B74FC7710}</author>
    <author>tc={2762C695-1C58-4CD2-9CEC-D0D34618A0D9}</author>
    <author>tc={9FD2471E-0207-40AA-9FAF-32CC69E4A664}</author>
    <author>tc={AA2BD271-EB0F-4FC3-A3C0-2CBFA47D6908}</author>
    <author>tc={DB016ED8-3336-4C94-82BF-1E569CCAFAC6}</author>
    <author>tc={905A59E5-10AD-48F6-AFA4-005AA4DD191A}</author>
    <author>tc={BB34ABA7-C2F2-4435-B456-8A880BBFB9F3}</author>
    <author>tc={18ABC567-AC40-41F0-B099-C7C6D8843FB3}</author>
    <author>tc={5DCC08AB-DBF4-4CF8-8BB0-53A398285AC8}</author>
    <author>tc={9A10C73E-4E1F-446A-9388-0D6096F93AC3}</author>
    <author>tc={CA1FC264-2EB5-487E-BD18-CC5ADDB5A5AB}</author>
    <author>tc={C991B398-3773-47D7-8948-DBF7C0AAEE9B}</author>
    <author>tc={4C3B7021-2382-4FBE-A02A-68C9DBDAD4D4}</author>
    <author>tc={56F3247C-B3F0-451B-BC54-D9C51677BCD7}</author>
    <author>tc={9345B280-79EC-4C60-8BF0-8CE96D12B953}</author>
    <author>tc={378FF4D2-7B0F-40A4-A782-BAB25787B876}</author>
    <author>tc={2D596003-4A9F-43DC-9787-D6ED09FB2501}</author>
    <author>tc={9D1653B3-1EED-4005-91FD-BFBCF64D5BA8}</author>
    <author>tc={1A62CE3F-6C6A-4F75-B8A0-9735A668D4C3}</author>
    <author>tc={220D857E-F9F0-4451-B572-6EF8F552CF7A}</author>
    <author>tc={449255BD-6B7B-4857-8622-9D9FD2DD7A08}</author>
    <author>tc={8D5A0799-A347-4F72-A773-53257FEE7D2D}</author>
    <author>tc={4E52D98A-5512-458F-BB63-D5196E1A4ECF}</author>
    <author>tc={C70F2840-77FB-4D02-AF88-B4A85885DDF5}</author>
    <author>tc={4CBD2426-E8EC-440D-93BF-C318EACD3542}</author>
    <author>tc={0DC2A877-F736-479D-96EF-7319486D9C81}</author>
    <author>tc={86A3B037-C5CE-4AD2-B480-4E7DBA8911CC}</author>
  </authors>
  <commentList>
    <comment ref="B26" authorId="0" shapeId="0" xr:uid="{73C1FAF4-DE0B-4C57-97AA-D17405D993C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C26" authorId="1" shapeId="0" xr:uid="{59B0650C-D2C0-47EB-A581-5844E9E205B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D26" authorId="2" shapeId="0" xr:uid="{E1B0312D-9C13-4A30-A015-8B874E3D061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I26" authorId="3" shapeId="0" xr:uid="{2AE2B060-4D12-4768-9112-E58F9B0BC3E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(as gasoline oxygenate) that is from the atmosphere. It is treated as a credit during growth of plants.</t>
      </text>
    </comment>
    <comment ref="J26" authorId="4" shapeId="0" xr:uid="{A75EDD01-F3A8-4978-A533-2062DBB723A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(as gasoline oxygenate) that is from the atmosphere. It is treated as a credit during growth of plants.</t>
      </text>
    </comment>
    <comment ref="K26" authorId="5" shapeId="0" xr:uid="{A6B36609-E697-4721-B530-9908D459721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It is treated as a credit during growth of plants.</t>
      </text>
    </comment>
    <comment ref="L26" authorId="6" shapeId="0" xr:uid="{86132640-25EB-485F-9A30-C3790DD6D56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It is treated as a credit during growth of plants.</t>
      </text>
    </comment>
    <comment ref="M26" authorId="7" shapeId="0" xr:uid="{3399C1DE-C73A-4E7D-A314-A98BE43ED45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S26" authorId="8" shapeId="0" xr:uid="{D9F265CA-41A3-4CE0-A25C-7A7EF31DB9F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T26" authorId="9" shapeId="0" xr:uid="{E84726C9-2F18-480F-9C16-CF6E9426389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U26" authorId="10" shapeId="0" xr:uid="{91C25886-298D-417D-95D0-0C2B18049A9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V26" authorId="11" shapeId="0" xr:uid="{0AE0FE4F-70AE-43B8-8505-C94B74FC771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W26" authorId="12" shapeId="0" xr:uid="{2762C695-1C58-4CD2-9CEC-D0D34618A0D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X26" authorId="13" shapeId="0" xr:uid="{9FD2471E-0207-40AA-9FAF-32CC69E4A66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Y26" authorId="14" shapeId="0" xr:uid="{AA2BD271-EB0F-4FC3-A3C0-2CBFA47D690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(as gasoline oxygenate) that is from the atmosphere. It is treated as a credit during growth of plants.</t>
      </text>
    </comment>
    <comment ref="Z26" authorId="15" shapeId="0" xr:uid="{DB016ED8-3336-4C94-82BF-1E569CCAFAC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AD26" authorId="16" shapeId="0" xr:uid="{905A59E5-10AD-48F6-AFA4-005AA4DD191A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biodiesel that is from the atmosphere. This is a credit during growth of plants.
Note that carbon comes from methanol is from fossil, which does not become biogenic credit (GREET 2018).</t>
      </text>
    </comment>
    <comment ref="AF26" authorId="17" shapeId="0" xr:uid="{BB34ABA7-C2F2-4435-B456-8A880BBFB9F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It is treated as a credit during growth of plants.</t>
      </text>
    </comment>
    <comment ref="AH26" authorId="18" shapeId="0" xr:uid="{18ABC567-AC40-41F0-B099-C7C6D8843FB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AI26" authorId="19" shapeId="0" xr:uid="{5DCC08AB-DBF4-4CF8-8BB0-53A398285AC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AK26" authorId="20" shapeId="0" xr:uid="{9A10C73E-4E1F-446A-9388-0D6096F93AC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AO26" authorId="21" shapeId="0" xr:uid="{CA1FC264-2EB5-487E-BD18-CC5ADDB5A5A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(as gasoline oxygenate) that is from the atmosphere. It is treated as a credit during growth of plants.</t>
      </text>
    </comment>
    <comment ref="AP26" authorId="22" shapeId="0" xr:uid="{C991B398-3773-47D7-8948-DBF7C0AAEE9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AV26" authorId="23" shapeId="0" xr:uid="{4C3B7021-2382-4FBE-A02A-68C9DBDAD4D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AY26" authorId="24" shapeId="0" xr:uid="{56F3247C-B3F0-451B-BC54-D9C51677BCD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AZ26" authorId="25" shapeId="0" xr:uid="{9345B280-79EC-4C60-8BF0-8CE96D12B95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BG26" authorId="26" shapeId="0" xr:uid="{378FF4D2-7B0F-40A4-A782-BAB25787B87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BH26" authorId="27" shapeId="0" xr:uid="{2D596003-4A9F-43DC-9787-D6ED09FB250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BW26" authorId="28" shapeId="0" xr:uid="{9D1653B3-1EED-4005-91FD-BFBCF64D5BA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(as gasoline oxygenate) that is from the atmosphere. It is treated as a credit during growth of plants.</t>
      </text>
    </comment>
    <comment ref="BX26" authorId="29" shapeId="0" xr:uid="{1A62CE3F-6C6A-4F75-B8A0-9735A668D4C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(as gasoline oxygenate) that is from the atmosphere. It is treated as a credit during growth of plants.</t>
      </text>
    </comment>
    <comment ref="CB26" authorId="30" shapeId="0" xr:uid="{220D857E-F9F0-4451-B572-6EF8F552CF7A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This is a credit during growth of plants.</t>
      </text>
    </comment>
    <comment ref="CK26" authorId="31" shapeId="0" xr:uid="{449255BD-6B7B-4857-8622-9D9FD2DD7A0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biodiesel that is from the atmosphere. This is a credit during growth of plants.
Note that carbon comes from methanol is from fossil, which does not become biogenic credit (GREET 2018).</t>
      </text>
    </comment>
    <comment ref="CM26" authorId="32" shapeId="0" xr:uid="{8D5A0799-A347-4F72-A773-53257FEE7D2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It is treated as a credit during growth of plants.</t>
      </text>
    </comment>
    <comment ref="DB26" authorId="33" shapeId="0" xr:uid="{4E52D98A-5512-458F-BB63-D5196E1A4EC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biodiesel that is from the atmosphere. This is a credit during growth of plants.
Note that carbon comes from methanol is from fossil, which does not become biogenic credit (GREET 2018).</t>
      </text>
    </comment>
    <comment ref="DC26" authorId="34" shapeId="0" xr:uid="{C70F2840-77FB-4D02-AF88-B4A85885DDF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biodiesel that is from the atmosphere. This is a credit during growth of plants.
Note that carbon comes from methanol is from fossil, which does not become biogenic credit (GREET 2018).</t>
      </text>
    </comment>
    <comment ref="DJ26" authorId="35" shapeId="0" xr:uid="{4CBD2426-E8EC-440D-93BF-C318EACD354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It is treated as a credit during growth of plants.</t>
      </text>
    </comment>
    <comment ref="DK26" authorId="36" shapeId="0" xr:uid="{0DC2A877-F736-479D-96EF-7319486D9C8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burnt ethanol that is from the atmosphere. It is treated as a credit during growth of plants.</t>
      </text>
    </comment>
    <comment ref="DS26" authorId="37" shapeId="0" xr:uid="{86A3B037-C5CE-4AD2-B480-4E7DBA8911C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amount of CO2 contained in the ethanol that is from the atmosphere. This is a credit during growth of plants.</t>
      </text>
    </comment>
  </commentList>
</comments>
</file>

<file path=xl/sharedStrings.xml><?xml version="1.0" encoding="utf-8"?>
<sst xmlns="http://schemas.openxmlformats.org/spreadsheetml/2006/main" count="144" uniqueCount="144">
  <si>
    <t>Baseline Gasoline Vehicle: Gasoline</t>
  </si>
  <si>
    <t>Gasoline Vehicle: CA gasoline</t>
  </si>
  <si>
    <t>Gasoline Vehicle: Low-Level EtOH Blend with Gasoline</t>
  </si>
  <si>
    <t>Bi-Fueled CNGV on CNG</t>
  </si>
  <si>
    <t>Dedicated CNGV</t>
  </si>
  <si>
    <t>Dedicated LNGV</t>
  </si>
  <si>
    <t>Dedicated LPGV</t>
  </si>
  <si>
    <t>MeOH Flexiable-Fuel Vehicle</t>
  </si>
  <si>
    <t>Dedicated MeOH Vehicle</t>
  </si>
  <si>
    <t>EtOH Flexible-Fuel Vehicle</t>
  </si>
  <si>
    <t>BtOH Flexible-Fuel Vehicle</t>
  </si>
  <si>
    <t>Dedicated EtOH Vehicle</t>
  </si>
  <si>
    <t>G.H2 ICE Vehicle</t>
  </si>
  <si>
    <t>L.H2 ICE Vehicle</t>
  </si>
  <si>
    <t>High Octane Fuel Vehicle: HOF E10</t>
  </si>
  <si>
    <t>High Octane Fuel Vehicle: HOF E25</t>
  </si>
  <si>
    <t>High Octane Fuel Vehicle: HOF E40</t>
  </si>
  <si>
    <t>SIDI Vehicle: Gasoline</t>
  </si>
  <si>
    <t>SIDI Vehicle: CA gasoline</t>
  </si>
  <si>
    <t>SIDI Vehicle: Low-Level EtOH Blend with Gasoline</t>
  </si>
  <si>
    <t>SIDI Dedicated MeOH Vehicle</t>
  </si>
  <si>
    <t>SIDI Dedicated EtOH Vehicle</t>
  </si>
  <si>
    <t>CIDI Vehicle: Conventional and LS Diesel</t>
  </si>
  <si>
    <t>CIDI Vehicle: Dimethyl Ether</t>
  </si>
  <si>
    <t>CIDI Vehicle: FT Diesel</t>
  </si>
  <si>
    <t>CIDI Vehicle: EtOH-Diesel</t>
  </si>
  <si>
    <t>CIDI Vehicle: PUP-derived Diesel</t>
  </si>
  <si>
    <t>Grid-Independent SI HEV: Gasoline</t>
  </si>
  <si>
    <t>Grid-Independent SI HEV: CA gasoline</t>
  </si>
  <si>
    <t>Grid-Independent SI HEV: RG</t>
  </si>
  <si>
    <t>Grid-Independent SI HEV: Low-Level EtOH Blend with Gasoline</t>
  </si>
  <si>
    <t>Grid-Independent SI HEV: CNG</t>
  </si>
  <si>
    <t>Grid-Independent SI HEV: LNG</t>
  </si>
  <si>
    <t>Grid-Independent SI HEV: LPG</t>
  </si>
  <si>
    <t>Grid-Independent SI HEV: MeOH</t>
  </si>
  <si>
    <t>Grid-Independent SI HEV: EtOH</t>
  </si>
  <si>
    <t>Grid-Independent SI ICE HEV: G.H2</t>
  </si>
  <si>
    <t>Grid-Independent SI ICE HEV: L.H2</t>
  </si>
  <si>
    <t>Grid-Connected SI PHEV: Gasoline, CD Combined</t>
  </si>
  <si>
    <t>Grid-Connected SI PHEV: Gasoline, CD Electric, w/ charger</t>
  </si>
  <si>
    <t>Grid-Connected SI PHEV: Gasoline, CD On-Board</t>
  </si>
  <si>
    <t>Grid-Connected SI PHEV: Gasoline, CS Mode</t>
  </si>
  <si>
    <t>Grid-Connected SI PHEV: CA gasoline, CD Combined</t>
  </si>
  <si>
    <t>Grid-Connected SI PHEV: CA gasoline, CD Electric, w/ charger</t>
  </si>
  <si>
    <t>Grid-Connected SI PHEV: CA gasoline, CD On-Board</t>
  </si>
  <si>
    <t>Grid-Connected SI PHEV: CA gasoline, CS Mode</t>
  </si>
  <si>
    <t>Grid-Connected SI PHEV: RG, CD Combined</t>
  </si>
  <si>
    <t>Grid-Connected SI PHEV: RG, CD Electric, w/ charger</t>
  </si>
  <si>
    <t>Grid-Connected SI PHEV: RG, CD On-Board</t>
  </si>
  <si>
    <t>Grid-Connected SI PHEV: RG, CS Mode</t>
  </si>
  <si>
    <t>Grid-Connected SI PHEV: Low-Level EtOH Blend with Gasoline, CD Combined</t>
  </si>
  <si>
    <t>Grid-Connected SI PHEV: Low-Level EtOH Blend with Gasoline, CD Electric, w/ charger</t>
  </si>
  <si>
    <t>Grid-Connected SI PHEV: Low-Level EtOH Blend with Gasoline, CD On-Board</t>
  </si>
  <si>
    <t>Grid-Connected SI PHEV: Low-Level EtOH Blend with Gasoline, CS Mode</t>
  </si>
  <si>
    <t>Grid-Connected SI PHEV: CNG, CD combined</t>
  </si>
  <si>
    <t>Grid-Connected SI PHEV: CNG, CD Electric, w/ charger</t>
  </si>
  <si>
    <t>Grid-Connected SI PHEV: CNG, CD On-Board</t>
  </si>
  <si>
    <t>Grid-Connected SI PHEV: CNG, CS Mode</t>
  </si>
  <si>
    <t>Grid-Connected SI PHEV: LNG, CD combined</t>
  </si>
  <si>
    <t>Grid-Connected SI PHEV: LNG, CD Electric, w/ charger</t>
  </si>
  <si>
    <t>Grid-Connected SI PHEV: LNG, CD On-Board</t>
  </si>
  <si>
    <t>Grid-Connected SI PHEV: LNG, CS Mode</t>
  </si>
  <si>
    <t>Grid-Connected SI PHEV: LPG, CD combined</t>
  </si>
  <si>
    <t>Grid-Connected SI PHEV: LPG, CD Electric, w/ charger</t>
  </si>
  <si>
    <t>Grid-Connected SI PHEV: LPG, CD On-Board</t>
  </si>
  <si>
    <t>Grid-Connected SI PHEV: LPG, CS Mode</t>
  </si>
  <si>
    <t>Grid-Connected SI PHEV: MeOH, CD combined</t>
  </si>
  <si>
    <t>Grid-Connected SI PHEV: MeOH, CD Electric, w/ charger</t>
  </si>
  <si>
    <t>Grid-Connected SI PHEV: MeOH, CD On-Board</t>
  </si>
  <si>
    <t>Grid-Connected SI PHEV: MeOH, CS Mode</t>
  </si>
  <si>
    <t>Grid-Connected SI PHEV: EtOH, CD Combined</t>
  </si>
  <si>
    <t>Grid-Connected SI PHEV: EtOH, CD Electric, w/ charger</t>
  </si>
  <si>
    <t xml:space="preserve"> Grid-Connected SI PHEV: EtOH,CD On-Board</t>
  </si>
  <si>
    <t>Grid-Connected SI PHEV: EtOH, CS Mode</t>
  </si>
  <si>
    <t>Grid-Connected SI PHEV: H2, CD Combined</t>
  </si>
  <si>
    <t>Grid-Connected SI PHEV: H2, CD Electric, w/ charger</t>
  </si>
  <si>
    <t>Grid-Connected SI PHEV: H2, CD On-Board</t>
  </si>
  <si>
    <t>Grid-Connected SI PHEV: G.H2, CS Mode</t>
  </si>
  <si>
    <t>Grid-Connected SI PHEV: L.H2, CS Mode</t>
  </si>
  <si>
    <t>Grid-Independent CIDI HEV: Conventional and Low-Sulfur Diesel</t>
  </si>
  <si>
    <t>Grid-Independent CIDI HEV: Dimethyl Ether</t>
  </si>
  <si>
    <t>Grid-Independent CIDI HEVs: FT Diesel</t>
  </si>
  <si>
    <t>Grid-Independent CIDI HEVs: EtOH-Diesel</t>
  </si>
  <si>
    <t>Grid-Connected CIDI PHEV: Conventional and Low-Sulfur Diesel, CD Combined</t>
  </si>
  <si>
    <t>Grid-Connected CIDI PHEV: Conventional and Low-Sulfur Diesel, CD Electric, w/ charger</t>
  </si>
  <si>
    <t>Grid-Connected CIDI PHEV: Conventional and Low-Sulfur Diesel, CD On-Board</t>
  </si>
  <si>
    <t>Grid-Connected CIDI PHEV: Conventional and Low-Sulfur Diesel, CS Mode</t>
  </si>
  <si>
    <t>Grid-Connected CIDI PHEV: Dimethyl Ether, CD Combined</t>
  </si>
  <si>
    <t>Grid-Connected CIDI PHEV: Dimethyl Ether, CD Electric, w/ charger</t>
  </si>
  <si>
    <t>Grid-Connected CIDI PHEV: Dimethyl Ether, CD On-Board</t>
  </si>
  <si>
    <t>Grid-Connected CIDI PHEV: Dimethyl Ether, CS Mode</t>
  </si>
  <si>
    <t>Grid-Connected CIDI PHEV: FT Diesel, CD Combined</t>
  </si>
  <si>
    <t>Grid-Connected CIDI PHEV: FT Diesel, CD Electric, w/ charger</t>
  </si>
  <si>
    <t>Grid-Connected CIDI PHEV: FT Diesel, CD On-Board</t>
  </si>
  <si>
    <t>Grid-Connected CIDI PHEVs: FT Diesel, CS Mode</t>
  </si>
  <si>
    <t>Grid-Connected CIDI PHEV: EtOH-Diesel, CD Combined</t>
  </si>
  <si>
    <t>Grid-Connected CIDI PHEV: EtOH-Diesel,, CD Electric, w/ charger</t>
  </si>
  <si>
    <t>Grid-Connected CIDI PHEV: EtOH-Diesel, CD On-Board</t>
  </si>
  <si>
    <t>Grid-Connected CIDI PHEV CS Mode: EtOH-Diesel, CS Mode</t>
  </si>
  <si>
    <t>Electric Vehicle, w/ charger</t>
  </si>
  <si>
    <t>G.H2 Fuel-Cell Vehicle</t>
  </si>
  <si>
    <t>L.H2 Fuel-Cell Vehicle</t>
  </si>
  <si>
    <t>Methanol Fuel-Cell Vehicle</t>
  </si>
  <si>
    <t>LS Gasoline Fuel-Cell Vehicle</t>
  </si>
  <si>
    <t>CA gasoline Fuel-Cell Vehicle</t>
  </si>
  <si>
    <t>LS Diesel Fuel-Cell Vehicle</t>
  </si>
  <si>
    <t>Ethanol Fuel-Cell Vehicle</t>
  </si>
  <si>
    <t>CNG Fuel-Cell Vehicle</t>
  </si>
  <si>
    <t>LNG Fuel-Cell Vehicle</t>
  </si>
  <si>
    <t>LPG Fuel-Cell Vehicle</t>
  </si>
  <si>
    <t>Naphtha Fuel-Cell Vehicle</t>
  </si>
  <si>
    <t>Grid-Connected FC PHEV: H2, CD Combined</t>
  </si>
  <si>
    <t>Grid-Connected FC PHEV: H2, CD Electric, w/ charger</t>
  </si>
  <si>
    <t>Grid-Connected FC PHEV: H2, CD On-Board</t>
  </si>
  <si>
    <t>Grid-Connected FC PHEV: H2, CS Mode</t>
  </si>
  <si>
    <t>LOF GCI Vehicle</t>
  </si>
  <si>
    <t>Boosted Spark Ignition (BSI) gasoline vehicles, Isobutanol</t>
  </si>
  <si>
    <t>Boosted Spark Ignition (BSI) gasoline vehicles, ARHC</t>
  </si>
  <si>
    <t>MultiMode (MM) gasoline vehicles, BioMethanol</t>
  </si>
  <si>
    <t>Urban Emission Shares</t>
  </si>
  <si>
    <t>MPGGE (per gasoline equivalent gallon)</t>
  </si>
  <si>
    <t>Total fuel use (Btu/mile)</t>
  </si>
  <si>
    <t>Fossil fuel use (Btu/mile)</t>
  </si>
  <si>
    <t>Coal use (Btu/mile)</t>
  </si>
  <si>
    <t>Natural gas use (Btu/mile)</t>
  </si>
  <si>
    <t>Petroleum use (Btu/mile)</t>
  </si>
  <si>
    <t>Emissions: grams/mile</t>
  </si>
  <si>
    <t xml:space="preserve">    VOC: exhaust</t>
  </si>
  <si>
    <t xml:space="preserve">    VOC: evaporation</t>
  </si>
  <si>
    <t xml:space="preserve">    CO</t>
  </si>
  <si>
    <t xml:space="preserve">    NOx</t>
  </si>
  <si>
    <t xml:space="preserve">    PM10: exhaust</t>
  </si>
  <si>
    <t xml:space="preserve">    PM10: brake and tire wear</t>
  </si>
  <si>
    <t xml:space="preserve">    PM2.5: exhaust</t>
  </si>
  <si>
    <t xml:space="preserve">    PM2.5: brake and tire wear</t>
  </si>
  <si>
    <t xml:space="preserve">    SOx</t>
  </si>
  <si>
    <t xml:space="preserve">    BC</t>
  </si>
  <si>
    <t xml:space="preserve">    OC</t>
  </si>
  <si>
    <t xml:space="preserve">    CH4</t>
  </si>
  <si>
    <t xml:space="preserve">    N2O</t>
  </si>
  <si>
    <t xml:space="preserve">    CO2</t>
  </si>
  <si>
    <t xml:space="preserve">    CO2 (w/ C in VOC &amp; CO)</t>
  </si>
  <si>
    <t xml:space="preserve">    GHGs</t>
  </si>
  <si>
    <t>Misc.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</si>
</sst>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textRotation="90" wrapText="1"/>
    </xf>
    <xf numFmtId="0" fontId="2" fillId="0" borderId="3" xfId="0" applyFont="1" applyBorder="1" applyAlignment="1">
      <alignment textRotation="90" wrapText="1"/>
    </xf>
    <xf numFmtId="0" fontId="2" fillId="0" borderId="4" xfId="0" applyFont="1" applyBorder="1" applyAlignment="1">
      <alignment textRotation="90" wrapText="1"/>
    </xf>
    <xf numFmtId="0" fontId="0" fillId="0" borderId="5" xfId="0" applyBorder="1"/>
    <xf numFmtId="164" fontId="3" fillId="0" borderId="0" xfId="1" applyNumberFormat="1" applyFont="1" applyFill="1" applyBorder="1" applyAlignment="1"/>
    <xf numFmtId="9" fontId="0" fillId="0" borderId="0" xfId="1" applyFont="1" applyFill="1" applyBorder="1" applyAlignment="1"/>
    <xf numFmtId="164" fontId="3" fillId="0" borderId="6" xfId="1" applyNumberFormat="1" applyFont="1" applyFill="1" applyBorder="1" applyAlignment="1"/>
    <xf numFmtId="164" fontId="3" fillId="0" borderId="7" xfId="1" applyNumberFormat="1" applyFont="1" applyFill="1" applyBorder="1" applyAlignment="1"/>
    <xf numFmtId="164" fontId="3" fillId="0" borderId="8" xfId="1" applyNumberFormat="1" applyFont="1" applyFill="1" applyBorder="1" applyAlignment="1"/>
    <xf numFmtId="164" fontId="3" fillId="0" borderId="9" xfId="1" applyNumberFormat="1" applyFont="1" applyFill="1" applyBorder="1" applyAlignment="1"/>
    <xf numFmtId="164" fontId="3" fillId="0" borderId="10" xfId="1" applyNumberFormat="1" applyFont="1" applyFill="1" applyBorder="1" applyAlignment="1"/>
    <xf numFmtId="10" fontId="0" fillId="0" borderId="1" xfId="0" applyNumberFormat="1" applyBorder="1"/>
    <xf numFmtId="0" fontId="0" fillId="0" borderId="11" xfId="0" applyBorder="1"/>
    <xf numFmtId="165" fontId="0" fillId="0" borderId="9" xfId="0" applyNumberFormat="1" applyBorder="1"/>
    <xf numFmtId="165" fontId="0" fillId="0" borderId="8" xfId="0" applyNumberFormat="1" applyBorder="1"/>
    <xf numFmtId="165" fontId="0" fillId="0" borderId="10" xfId="0" applyNumberFormat="1" applyBorder="1"/>
    <xf numFmtId="3" fontId="0" fillId="0" borderId="9" xfId="0" applyNumberFormat="1" applyBorder="1"/>
    <xf numFmtId="3" fontId="0" fillId="0" borderId="11" xfId="0" applyNumberFormat="1" applyBorder="1"/>
    <xf numFmtId="3" fontId="0" fillId="0" borderId="0" xfId="0" applyNumberFormat="1"/>
    <xf numFmtId="3" fontId="0" fillId="0" borderId="6" xfId="0" applyNumberFormat="1" applyBorder="1"/>
    <xf numFmtId="3" fontId="0" fillId="0" borderId="7" xfId="0" applyNumberFormat="1" applyBorder="1"/>
    <xf numFmtId="3" fontId="0" fillId="0" borderId="5" xfId="0" applyNumberFormat="1" applyBorder="1"/>
    <xf numFmtId="0" fontId="0" fillId="0" borderId="12" xfId="0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2" xfId="0" applyNumberFormat="1" applyBorder="1"/>
    <xf numFmtId="0" fontId="0" fillId="0" borderId="6" xfId="0" applyBorder="1"/>
    <xf numFmtId="0" fontId="0" fillId="0" borderId="7" xfId="0" applyBorder="1"/>
    <xf numFmtId="166" fontId="0" fillId="0" borderId="5" xfId="0" applyNumberFormat="1" applyBorder="1"/>
    <xf numFmtId="166" fontId="0" fillId="0" borderId="0" xfId="0" applyNumberFormat="1"/>
    <xf numFmtId="166" fontId="0" fillId="0" borderId="6" xfId="0" applyNumberFormat="1" applyBorder="1"/>
    <xf numFmtId="166" fontId="0" fillId="0" borderId="7" xfId="0" applyNumberFormat="1" applyBorder="1"/>
    <xf numFmtId="4" fontId="0" fillId="0" borderId="13" xfId="0" applyNumberFormat="1" applyBorder="1"/>
    <xf numFmtId="166" fontId="0" fillId="0" borderId="12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Aditya\eco\RD%20GREET2025\R&amp;D%20GREET2025\R&amp;D%20GREET1_2025.xlsm" TargetMode="External"/><Relationship Id="rId1" Type="http://schemas.openxmlformats.org/officeDocument/2006/relationships/externalLinkPath" Target="/Aditya/eco/RD%20GREET2025/R&amp;D%20GREET2025/R&amp;D%20GREET1_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Inputs"/>
      <sheetName val="Results"/>
      <sheetName val="Petroleum"/>
      <sheetName val="Co_processing"/>
      <sheetName val="NG"/>
      <sheetName val="NG_Regions"/>
      <sheetName val="NG_Basins"/>
      <sheetName val="MeOH_FTD"/>
      <sheetName val="EtOH"/>
      <sheetName val="Electric"/>
      <sheetName val="Generation_mixes"/>
      <sheetName val="Bio_electricity"/>
      <sheetName val="BECCS"/>
      <sheetName val="Hydrogen"/>
      <sheetName val="BioOil"/>
      <sheetName val="Algae"/>
      <sheetName val="Macroalgae"/>
      <sheetName val="Residue Biomass"/>
      <sheetName val="Waste"/>
      <sheetName val="RNG"/>
      <sheetName val="Pyrolysis_IDL"/>
      <sheetName val="IBR"/>
      <sheetName val="E_fuel"/>
      <sheetName val="Fuel_Prod_TS"/>
      <sheetName val="EF_TS"/>
      <sheetName val="AgMining_EF_TS"/>
      <sheetName val="EF"/>
      <sheetName val="WCF"/>
      <sheetName val="Fuel_Specs"/>
      <sheetName val="Car_TS"/>
      <sheetName val="LDT1_TS"/>
      <sheetName val="LDT2_TS"/>
      <sheetName val="Vehicles"/>
      <sheetName val="Urban_Shares"/>
      <sheetName val="Compression"/>
      <sheetName val="Coal"/>
      <sheetName val="T_D_Flowcharts"/>
      <sheetName val="T_D"/>
      <sheetName val="Uranium"/>
      <sheetName val="ASU"/>
      <sheetName val="Ag_Inputs"/>
      <sheetName val="Enzymes_Yeast"/>
      <sheetName val="Pretreatment"/>
      <sheetName val="Catalyst"/>
      <sheetName val="PUP_conversion"/>
      <sheetName val="Steam_Cracking"/>
      <sheetName val="Chemicals"/>
      <sheetName val="Plastics"/>
      <sheetName val="CESA"/>
      <sheetName val="Animal_Feed"/>
      <sheetName val="EtOH-Diesel Additives"/>
      <sheetName val="OilGasCoalInfra"/>
      <sheetName val="ElecInfra"/>
      <sheetName val="Woody"/>
      <sheetName val="HDV_TS"/>
      <sheetName val="HDV_WTW"/>
      <sheetName val="Clean_Fuels"/>
      <sheetName val="SAF_Interface"/>
      <sheetName val="JetFuel_WTP"/>
      <sheetName val="JetFuel_PTWa"/>
      <sheetName val="JetFuel_WTWa"/>
      <sheetName val="Rail_PTW"/>
      <sheetName val="Rail_WTW"/>
      <sheetName val="Tractor_WTW"/>
      <sheetName val="Marine_Fuel"/>
      <sheetName val="Marine_Trip"/>
      <sheetName val="Dist_Spec"/>
      <sheetName val="Forecast_Specs"/>
      <sheetName val="Forecast_Deleted"/>
    </sheetNames>
    <sheetDataSet>
      <sheetData sheetId="0"/>
      <sheetData sheetId="1">
        <row r="16">
          <cell r="E16">
            <v>1</v>
          </cell>
        </row>
        <row r="93">
          <cell r="Q93">
            <v>0</v>
          </cell>
        </row>
        <row r="96">
          <cell r="E96">
            <v>1</v>
          </cell>
        </row>
        <row r="100">
          <cell r="E100">
            <v>1</v>
          </cell>
        </row>
        <row r="122">
          <cell r="F122">
            <v>1</v>
          </cell>
          <cell r="G122">
            <v>1</v>
          </cell>
          <cell r="H122">
            <v>1</v>
          </cell>
        </row>
        <row r="167">
          <cell r="F167">
            <v>1</v>
          </cell>
        </row>
        <row r="168">
          <cell r="F168">
            <v>1</v>
          </cell>
        </row>
        <row r="169">
          <cell r="F169">
            <v>1</v>
          </cell>
        </row>
        <row r="170">
          <cell r="F170">
            <v>1</v>
          </cell>
        </row>
        <row r="186">
          <cell r="F186">
            <v>1</v>
          </cell>
          <cell r="G186">
            <v>0</v>
          </cell>
        </row>
        <row r="260">
          <cell r="F260">
            <v>1</v>
          </cell>
          <cell r="G260">
            <v>1</v>
          </cell>
        </row>
        <row r="261">
          <cell r="F261">
            <v>1</v>
          </cell>
          <cell r="G261">
            <v>1</v>
          </cell>
        </row>
        <row r="324">
          <cell r="E324">
            <v>1</v>
          </cell>
          <cell r="F324">
            <v>1</v>
          </cell>
        </row>
        <row r="337">
          <cell r="E337">
            <v>3</v>
          </cell>
          <cell r="F337">
            <v>3</v>
          </cell>
        </row>
        <row r="382">
          <cell r="Q382">
            <v>0</v>
          </cell>
        </row>
        <row r="755">
          <cell r="E755">
            <v>2</v>
          </cell>
        </row>
        <row r="884">
          <cell r="F884" t="str">
            <v>Advanced biomass technology share of total biomass power plant capacity</v>
          </cell>
        </row>
        <row r="986">
          <cell r="F986">
            <v>50</v>
          </cell>
        </row>
        <row r="989">
          <cell r="E989">
            <v>0.85</v>
          </cell>
        </row>
        <row r="1211">
          <cell r="H1211" t="str">
            <v>Synthesis process for H2 production in central plants, with steam or electricity co-generation (without accounting Btu in steam or electricity)</v>
          </cell>
        </row>
        <row r="1212">
          <cell r="H1212" t="str">
            <v xml:space="preserve">Net Steam export credit: Btu of steam per mmBtu of H2 produced </v>
          </cell>
          <cell r="K1212">
            <v>389000</v>
          </cell>
        </row>
        <row r="1213">
          <cell r="H1213" t="str">
            <v xml:space="preserve">Net electricity export credit: kWh per mmBtu of H2 produced </v>
          </cell>
          <cell r="K1213">
            <v>34.200000000000003</v>
          </cell>
        </row>
        <row r="1215">
          <cell r="H1215" t="str">
            <v>Scenario 1: COG is treated as a co-product</v>
          </cell>
          <cell r="K1215">
            <v>0.76100000000000001</v>
          </cell>
        </row>
        <row r="1216">
          <cell r="H1216" t="str">
            <v>Scenario 2: COG is treated as a byproduct</v>
          </cell>
          <cell r="K1216">
            <v>0.91900000000000004</v>
          </cell>
        </row>
        <row r="1217">
          <cell r="H1217" t="str">
            <v>Scenario 3: Supplemental NG and electricity use to makeup for BTU withdrawal from separated H2 for the whole system</v>
          </cell>
          <cell r="K1217">
            <v>0.91900000000000004</v>
          </cell>
        </row>
        <row r="1219">
          <cell r="H1219" t="str">
            <v>Gasification in central plants: without steam or electricity co-generation</v>
          </cell>
          <cell r="K1219">
            <v>0.63</v>
          </cell>
        </row>
        <row r="1220">
          <cell r="H1220" t="str">
            <v>Synthesis process for H2 production in central plants: without steam or electricity co-generation</v>
          </cell>
          <cell r="K1220">
            <v>1</v>
          </cell>
        </row>
        <row r="1221">
          <cell r="H1221" t="str">
            <v>Gasification for H2 production in central plants: with steam or electricity co-generation (without accounting Btu in steam or electricity)</v>
          </cell>
          <cell r="K1221">
            <v>0.56899999999999995</v>
          </cell>
        </row>
        <row r="1222">
          <cell r="H1222" t="str">
            <v>Synthesis process for H2 production in central plants, with steam or electricity co-generation (without accounting Btu in steam or electricity)</v>
          </cell>
          <cell r="K1222">
            <v>1</v>
          </cell>
        </row>
        <row r="1223">
          <cell r="H1223" t="str">
            <v xml:space="preserve">Net Steam export credit: Btu of steam per mmBtu of H2 produced </v>
          </cell>
          <cell r="K1223">
            <v>556000</v>
          </cell>
        </row>
        <row r="1347">
          <cell r="F1347">
            <v>2.4978238792726519</v>
          </cell>
          <cell r="H1347">
            <v>255.70649700231178</v>
          </cell>
          <cell r="J1347">
            <v>2.4978238792726519</v>
          </cell>
          <cell r="L1347">
            <v>255.70649700231178</v>
          </cell>
          <cell r="N1347">
            <v>2.4978238792726519</v>
          </cell>
          <cell r="P1347">
            <v>255.70649700231178</v>
          </cell>
          <cell r="R1347">
            <v>2.4978238792726519</v>
          </cell>
          <cell r="T1347">
            <v>255.70649700231178</v>
          </cell>
          <cell r="V1347">
            <v>2.4978238792726519</v>
          </cell>
          <cell r="X1347">
            <v>255.70649700231178</v>
          </cell>
          <cell r="Z1347">
            <v>2.4978238792726519</v>
          </cell>
          <cell r="AB1347">
            <v>255.70649700231178</v>
          </cell>
          <cell r="AD1347">
            <v>2.4978238792726519</v>
          </cell>
          <cell r="AF1347">
            <v>255.70649700231178</v>
          </cell>
          <cell r="AH1347">
            <v>2.4978238792726519</v>
          </cell>
          <cell r="AJ1347">
            <v>255.70649700231178</v>
          </cell>
          <cell r="AL1347">
            <v>2.4978238792726519</v>
          </cell>
          <cell r="AN1347">
            <v>255.70649700231178</v>
          </cell>
          <cell r="AP1347">
            <v>2.4978238792726519</v>
          </cell>
          <cell r="AR1347">
            <v>255.70649700231178</v>
          </cell>
          <cell r="AT1347">
            <v>1022.1528463007827</v>
          </cell>
          <cell r="AV1347">
            <v>211.57479999999998</v>
          </cell>
          <cell r="AX1347">
            <v>1022.1528463007827</v>
          </cell>
          <cell r="AZ1347">
            <v>211.57479999999998</v>
          </cell>
          <cell r="BB1347">
            <v>1022.1528463007827</v>
          </cell>
          <cell r="BD1347">
            <v>211.57479999999998</v>
          </cell>
          <cell r="BF1347">
            <v>1022.1528463007827</v>
          </cell>
          <cell r="BH1347">
            <v>211.57479999999998</v>
          </cell>
          <cell r="BJ1347">
            <v>1022.1528463007827</v>
          </cell>
          <cell r="BL1347">
            <v>211.57479999999998</v>
          </cell>
          <cell r="BN1347">
            <v>1022.1528463007827</v>
          </cell>
          <cell r="BP1347">
            <v>211.57479999999998</v>
          </cell>
          <cell r="BR1347">
            <v>741.5942523442709</v>
          </cell>
          <cell r="BT1347">
            <v>203.30129999999997</v>
          </cell>
        </row>
        <row r="1348">
          <cell r="F1348">
            <v>76.943629932859892</v>
          </cell>
          <cell r="H1348">
            <v>292.22460604501589</v>
          </cell>
          <cell r="J1348">
            <v>76.943629932859892</v>
          </cell>
          <cell r="L1348">
            <v>292.22460604501589</v>
          </cell>
          <cell r="N1348">
            <v>76.943629932859892</v>
          </cell>
          <cell r="P1348">
            <v>292.22460604501589</v>
          </cell>
          <cell r="R1348">
            <v>76.943629932859892</v>
          </cell>
          <cell r="T1348">
            <v>292.22460604501589</v>
          </cell>
          <cell r="V1348">
            <v>76.943629932859892</v>
          </cell>
          <cell r="X1348">
            <v>292.22460604501589</v>
          </cell>
          <cell r="Z1348">
            <v>76.943629932859892</v>
          </cell>
          <cell r="AB1348">
            <v>292.22460604501589</v>
          </cell>
          <cell r="AD1348">
            <v>76.943629932859892</v>
          </cell>
          <cell r="AF1348">
            <v>292.22460604501589</v>
          </cell>
          <cell r="AH1348">
            <v>76.943629932859892</v>
          </cell>
          <cell r="AJ1348">
            <v>292.22460604501589</v>
          </cell>
          <cell r="AL1348">
            <v>76.943629932859892</v>
          </cell>
          <cell r="AN1348">
            <v>292.22460604501589</v>
          </cell>
          <cell r="AP1348">
            <v>76.943629932859892</v>
          </cell>
          <cell r="AR1348">
            <v>292.22460604501589</v>
          </cell>
          <cell r="AT1348">
            <v>1080.0448697170852</v>
          </cell>
          <cell r="AV1348">
            <v>205.78519999999997</v>
          </cell>
          <cell r="AX1348">
            <v>1080.0448697170852</v>
          </cell>
          <cell r="AZ1348">
            <v>205.78519999999997</v>
          </cell>
          <cell r="BB1348">
            <v>1080.0448697170852</v>
          </cell>
          <cell r="BD1348">
            <v>205.78519999999997</v>
          </cell>
          <cell r="BF1348">
            <v>1080.0448697170852</v>
          </cell>
          <cell r="BH1348">
            <v>205.78519999999997</v>
          </cell>
          <cell r="BJ1348">
            <v>1080.0448697170852</v>
          </cell>
          <cell r="BL1348">
            <v>205.78519999999997</v>
          </cell>
          <cell r="BN1348">
            <v>1080.0448697170852</v>
          </cell>
          <cell r="BP1348">
            <v>205.78519999999997</v>
          </cell>
          <cell r="BR1348">
            <v>669.10051730542057</v>
          </cell>
          <cell r="BT1348">
            <v>209.60569999999998</v>
          </cell>
        </row>
        <row r="1349">
          <cell r="F1349">
            <v>2.4978238792726519</v>
          </cell>
          <cell r="H1349">
            <v>275.50007398717457</v>
          </cell>
          <cell r="J1349">
            <v>2.4978238792726519</v>
          </cell>
          <cell r="L1349">
            <v>275.50007398717457</v>
          </cell>
          <cell r="N1349">
            <v>2.4978238792726519</v>
          </cell>
          <cell r="P1349">
            <v>275.50007398717457</v>
          </cell>
          <cell r="R1349">
            <v>2.4978238792726519</v>
          </cell>
          <cell r="T1349">
            <v>275.50007398717457</v>
          </cell>
          <cell r="V1349">
            <v>2.4978238792726519</v>
          </cell>
          <cell r="X1349">
            <v>275.50007398717457</v>
          </cell>
          <cell r="Z1349">
            <v>2.4978238792726519</v>
          </cell>
          <cell r="AB1349">
            <v>275.50007398717457</v>
          </cell>
          <cell r="AD1349">
            <v>2.4978238792726519</v>
          </cell>
          <cell r="AF1349">
            <v>275.50007398717457</v>
          </cell>
          <cell r="AH1349">
            <v>2.4978238792726519</v>
          </cell>
          <cell r="AJ1349">
            <v>275.50007398717457</v>
          </cell>
          <cell r="AL1349">
            <v>2.4978238792726519</v>
          </cell>
          <cell r="AN1349">
            <v>275.50007398717457</v>
          </cell>
          <cell r="AP1349">
            <v>2.4978238792726519</v>
          </cell>
          <cell r="AR1349">
            <v>275.50007398717457</v>
          </cell>
          <cell r="AT1349">
            <v>2.5201269305306275</v>
          </cell>
          <cell r="AV1349">
            <v>299.71757142857143</v>
          </cell>
          <cell r="AX1349">
            <v>2.5201269305306275</v>
          </cell>
          <cell r="AZ1349">
            <v>299.71757142857143</v>
          </cell>
          <cell r="BB1349">
            <v>2.5201269305306275</v>
          </cell>
          <cell r="BD1349">
            <v>299.71757142857143</v>
          </cell>
          <cell r="BF1349">
            <v>2.5201269305306275</v>
          </cell>
          <cell r="BH1349">
            <v>299.71757142857143</v>
          </cell>
          <cell r="BJ1349">
            <v>2.5201269305306275</v>
          </cell>
          <cell r="BL1349">
            <v>299.71757142857143</v>
          </cell>
          <cell r="BN1349">
            <v>2.5201269305306275</v>
          </cell>
          <cell r="BP1349">
            <v>299.71757142857143</v>
          </cell>
          <cell r="BR1349">
            <v>2.2725277878232614E-3</v>
          </cell>
          <cell r="BT1349">
            <v>313.64171428571427</v>
          </cell>
        </row>
        <row r="1350">
          <cell r="F1350">
            <v>2.4978238792726519</v>
          </cell>
          <cell r="H1350">
            <v>255.12910895521782</v>
          </cell>
          <cell r="J1350">
            <v>2.4978238792726519</v>
          </cell>
          <cell r="L1350">
            <v>255.12910895521782</v>
          </cell>
          <cell r="N1350">
            <v>2.4978238792726519</v>
          </cell>
          <cell r="P1350">
            <v>255.12910895521782</v>
          </cell>
          <cell r="R1350">
            <v>2.4978238792726519</v>
          </cell>
          <cell r="T1350">
            <v>255.12910895521782</v>
          </cell>
          <cell r="V1350">
            <v>2.4978238792726519</v>
          </cell>
          <cell r="X1350">
            <v>255.12910895521782</v>
          </cell>
          <cell r="Z1350">
            <v>2.4978238792726519</v>
          </cell>
          <cell r="AB1350">
            <v>255.12910895521782</v>
          </cell>
          <cell r="AD1350">
            <v>2.4978238792726519</v>
          </cell>
          <cell r="AF1350">
            <v>255.12910895521782</v>
          </cell>
          <cell r="AH1350">
            <v>2.4978238792726519</v>
          </cell>
          <cell r="AJ1350">
            <v>255.12910895521782</v>
          </cell>
          <cell r="AL1350">
            <v>2.4978238792726519</v>
          </cell>
          <cell r="AN1350">
            <v>255.12910895521782</v>
          </cell>
          <cell r="AP1350">
            <v>2.4978238792726519</v>
          </cell>
          <cell r="AR1350">
            <v>255.12910895521782</v>
          </cell>
          <cell r="AT1350">
            <v>2.5201269305306275</v>
          </cell>
          <cell r="AV1350">
            <v>300.99414285714289</v>
          </cell>
          <cell r="AX1350">
            <v>2.5201269305306275</v>
          </cell>
          <cell r="AZ1350">
            <v>300.99414285714289</v>
          </cell>
          <cell r="BB1350">
            <v>2.5201269305306275</v>
          </cell>
          <cell r="BD1350">
            <v>300.99414285714289</v>
          </cell>
          <cell r="BF1350">
            <v>2.5201269305306275</v>
          </cell>
          <cell r="BH1350">
            <v>300.99414285714289</v>
          </cell>
          <cell r="BJ1350">
            <v>2.5201269305306275</v>
          </cell>
          <cell r="BL1350">
            <v>300.99414285714289</v>
          </cell>
          <cell r="BN1350">
            <v>2.5201269305306275</v>
          </cell>
          <cell r="BP1350">
            <v>300.99414285714289</v>
          </cell>
          <cell r="BR1350">
            <v>9.3220409288007013E-4</v>
          </cell>
          <cell r="BT1350">
            <v>316.14971428571431</v>
          </cell>
        </row>
        <row r="1355">
          <cell r="F1355">
            <v>2.4978238792726519</v>
          </cell>
          <cell r="H1355">
            <v>299.78625727032278</v>
          </cell>
          <cell r="J1355">
            <v>2.4978238792726519</v>
          </cell>
          <cell r="L1355">
            <v>299.78625727032278</v>
          </cell>
          <cell r="N1355">
            <v>2.4978238792726519</v>
          </cell>
          <cell r="P1355">
            <v>299.78625727032278</v>
          </cell>
          <cell r="R1355">
            <v>2.4978238792726519</v>
          </cell>
          <cell r="T1355">
            <v>299.78625727032278</v>
          </cell>
          <cell r="V1355">
            <v>2.4978238792726519</v>
          </cell>
          <cell r="X1355">
            <v>299.78625727032278</v>
          </cell>
          <cell r="Z1355">
            <v>2.4978238792726519</v>
          </cell>
          <cell r="AB1355">
            <v>299.78625727032278</v>
          </cell>
          <cell r="AD1355">
            <v>2.4978238792726519</v>
          </cell>
          <cell r="AF1355">
            <v>299.78625727032278</v>
          </cell>
          <cell r="AH1355">
            <v>2.4978238792726519</v>
          </cell>
          <cell r="AJ1355">
            <v>299.78625727032278</v>
          </cell>
          <cell r="AL1355">
            <v>2.4978238792726519</v>
          </cell>
          <cell r="AN1355">
            <v>299.78625727032278</v>
          </cell>
          <cell r="AP1355">
            <v>2.4978238792726519</v>
          </cell>
          <cell r="AR1355">
            <v>299.78625727032278</v>
          </cell>
          <cell r="AT1355">
            <v>1420.1194742308712</v>
          </cell>
          <cell r="AV1355">
            <v>266.89890000000003</v>
          </cell>
          <cell r="AX1355">
            <v>1420.1194742308712</v>
          </cell>
          <cell r="AZ1355">
            <v>266.89890000000003</v>
          </cell>
          <cell r="BB1355">
            <v>1420.1194742308712</v>
          </cell>
          <cell r="BD1355">
            <v>266.89890000000003</v>
          </cell>
          <cell r="BF1355">
            <v>1420.1194742308712</v>
          </cell>
          <cell r="BH1355">
            <v>266.89890000000003</v>
          </cell>
          <cell r="BJ1355">
            <v>1420.1194742308712</v>
          </cell>
          <cell r="BL1355">
            <v>266.89890000000003</v>
          </cell>
          <cell r="BN1355">
            <v>1420.1194742308712</v>
          </cell>
          <cell r="BP1355">
            <v>266.89890000000003</v>
          </cell>
          <cell r="BR1355">
            <v>958.23701112219544</v>
          </cell>
          <cell r="BT1355">
            <v>286.28739999999993</v>
          </cell>
        </row>
        <row r="1356">
          <cell r="F1356">
            <v>102.34325819353316</v>
          </cell>
          <cell r="H1356">
            <v>271.8236</v>
          </cell>
          <cell r="J1356">
            <v>102.34325819353316</v>
          </cell>
          <cell r="L1356">
            <v>271.8236</v>
          </cell>
          <cell r="N1356">
            <v>102.34325819353316</v>
          </cell>
          <cell r="P1356">
            <v>271.8236</v>
          </cell>
          <cell r="R1356">
            <v>102.34325819353316</v>
          </cell>
          <cell r="T1356">
            <v>271.8236</v>
          </cell>
          <cell r="V1356">
            <v>102.34325819353316</v>
          </cell>
          <cell r="X1356">
            <v>271.8236</v>
          </cell>
          <cell r="Z1356">
            <v>102.34325819353316</v>
          </cell>
          <cell r="AB1356">
            <v>271.8236</v>
          </cell>
          <cell r="AD1356">
            <v>102.34325819353316</v>
          </cell>
          <cell r="AF1356">
            <v>271.8236</v>
          </cell>
          <cell r="AH1356">
            <v>102.34325819353316</v>
          </cell>
          <cell r="AJ1356">
            <v>271.8236</v>
          </cell>
          <cell r="AL1356">
            <v>102.34325819353316</v>
          </cell>
          <cell r="AN1356">
            <v>271.8236</v>
          </cell>
          <cell r="AP1356">
            <v>102.34325819353316</v>
          </cell>
          <cell r="AR1356">
            <v>271.8236</v>
          </cell>
          <cell r="AT1356">
            <v>1336.9421873951844</v>
          </cell>
          <cell r="AV1356">
            <v>285.8691</v>
          </cell>
          <cell r="AX1356">
            <v>1336.9421873951844</v>
          </cell>
          <cell r="AZ1356">
            <v>285.8691</v>
          </cell>
          <cell r="BB1356">
            <v>1336.9421873951844</v>
          </cell>
          <cell r="BD1356">
            <v>285.8691</v>
          </cell>
          <cell r="BF1356">
            <v>1336.9421873951844</v>
          </cell>
          <cell r="BH1356">
            <v>285.8691</v>
          </cell>
          <cell r="BJ1356">
            <v>1336.9421873951844</v>
          </cell>
          <cell r="BL1356">
            <v>285.8691</v>
          </cell>
          <cell r="BN1356">
            <v>1336.9421873951844</v>
          </cell>
          <cell r="BP1356">
            <v>285.8691</v>
          </cell>
          <cell r="BR1356">
            <v>1140.4334617199988</v>
          </cell>
          <cell r="BT1356">
            <v>249.37869999999998</v>
          </cell>
        </row>
        <row r="1357">
          <cell r="F1357">
            <v>2.4978238792726519</v>
          </cell>
          <cell r="H1357">
            <v>397.62085714285718</v>
          </cell>
          <cell r="J1357">
            <v>2.4978238792726519</v>
          </cell>
          <cell r="L1357">
            <v>397.62085714285718</v>
          </cell>
          <cell r="N1357">
            <v>2.4978238792726519</v>
          </cell>
          <cell r="P1357">
            <v>397.62085714285718</v>
          </cell>
          <cell r="R1357">
            <v>2.4978238792726519</v>
          </cell>
          <cell r="T1357">
            <v>397.62085714285718</v>
          </cell>
          <cell r="V1357">
            <v>2.4978238792726519</v>
          </cell>
          <cell r="X1357">
            <v>397.62085714285718</v>
          </cell>
          <cell r="Z1357">
            <v>2.4978238792726519</v>
          </cell>
          <cell r="AB1357">
            <v>397.62085714285718</v>
          </cell>
          <cell r="AD1357">
            <v>2.4978238792726519</v>
          </cell>
          <cell r="AF1357">
            <v>397.62085714285718</v>
          </cell>
          <cell r="AH1357">
            <v>2.4978238792726519</v>
          </cell>
          <cell r="AJ1357">
            <v>397.62085714285718</v>
          </cell>
          <cell r="AL1357">
            <v>2.4978238792726519</v>
          </cell>
          <cell r="AN1357">
            <v>397.62085714285718</v>
          </cell>
          <cell r="AP1357">
            <v>2.4978238792726519</v>
          </cell>
          <cell r="AR1357">
            <v>397.62085714285718</v>
          </cell>
          <cell r="AT1357">
            <v>2.5201269305306275</v>
          </cell>
          <cell r="AV1357">
            <v>407.69399999999996</v>
          </cell>
          <cell r="AX1357">
            <v>2.5201269305306275</v>
          </cell>
          <cell r="AZ1357">
            <v>407.69399999999996</v>
          </cell>
          <cell r="BB1357">
            <v>2.5201269305306275</v>
          </cell>
          <cell r="BD1357">
            <v>407.69399999999996</v>
          </cell>
          <cell r="BF1357">
            <v>2.5201269305306275</v>
          </cell>
          <cell r="BH1357">
            <v>407.69399999999996</v>
          </cell>
          <cell r="BJ1357">
            <v>2.5201269305306275</v>
          </cell>
          <cell r="BL1357">
            <v>407.69399999999996</v>
          </cell>
          <cell r="BN1357">
            <v>2.5201269305306275</v>
          </cell>
          <cell r="BP1357">
            <v>407.69399999999996</v>
          </cell>
          <cell r="BR1357">
            <v>5.3615760320020207E-3</v>
          </cell>
          <cell r="BT1357">
            <v>432.32528571428577</v>
          </cell>
        </row>
        <row r="1358">
          <cell r="F1358">
            <v>2.4978238792726519</v>
          </cell>
          <cell r="H1358">
            <v>309.37693898872135</v>
          </cell>
          <cell r="J1358">
            <v>2.4978238792726519</v>
          </cell>
          <cell r="L1358">
            <v>309.37693898872135</v>
          </cell>
          <cell r="N1358">
            <v>2.4978238792726519</v>
          </cell>
          <cell r="P1358">
            <v>309.37693898872135</v>
          </cell>
          <cell r="R1358">
            <v>2.4978238792726519</v>
          </cell>
          <cell r="T1358">
            <v>309.37693898872135</v>
          </cell>
          <cell r="V1358">
            <v>2.4978238792726519</v>
          </cell>
          <cell r="X1358">
            <v>309.37693898872135</v>
          </cell>
          <cell r="Z1358">
            <v>2.4978238792726519</v>
          </cell>
          <cell r="AB1358">
            <v>309.37693898872135</v>
          </cell>
          <cell r="AD1358">
            <v>2.4978238792726519</v>
          </cell>
          <cell r="AF1358">
            <v>309.37693898872135</v>
          </cell>
          <cell r="AH1358">
            <v>2.4978238792726519</v>
          </cell>
          <cell r="AJ1358">
            <v>309.37693898872135</v>
          </cell>
          <cell r="AL1358">
            <v>2.4978238792726519</v>
          </cell>
          <cell r="AN1358">
            <v>309.37693898872135</v>
          </cell>
          <cell r="AP1358">
            <v>2.4978238792726519</v>
          </cell>
          <cell r="AR1358">
            <v>309.37693898872135</v>
          </cell>
          <cell r="AT1358">
            <v>2.5201269305306275</v>
          </cell>
          <cell r="AV1358">
            <v>411.55571428571432</v>
          </cell>
          <cell r="AX1358">
            <v>2.5201269305306275</v>
          </cell>
          <cell r="AZ1358">
            <v>411.55571428571432</v>
          </cell>
          <cell r="BB1358">
            <v>2.5201269305306275</v>
          </cell>
          <cell r="BD1358">
            <v>411.55571428571432</v>
          </cell>
          <cell r="BF1358">
            <v>2.5201269305306275</v>
          </cell>
          <cell r="BH1358">
            <v>411.55571428571432</v>
          </cell>
          <cell r="BJ1358">
            <v>2.5201269305306275</v>
          </cell>
          <cell r="BL1358">
            <v>411.55571428571432</v>
          </cell>
          <cell r="BN1358">
            <v>2.5201269305306275</v>
          </cell>
          <cell r="BP1358">
            <v>411.55571428571432</v>
          </cell>
          <cell r="BR1358">
            <v>1.0788973134290829</v>
          </cell>
          <cell r="BT1358">
            <v>434.56900000000007</v>
          </cell>
        </row>
        <row r="1363">
          <cell r="F1363">
            <v>2.4978238792726519</v>
          </cell>
          <cell r="H1363">
            <v>410.65264791914376</v>
          </cell>
          <cell r="J1363">
            <v>2.4978238792726519</v>
          </cell>
          <cell r="L1363">
            <v>410.65264791914376</v>
          </cell>
          <cell r="N1363">
            <v>2.4978238792726519</v>
          </cell>
          <cell r="P1363">
            <v>410.65264791914376</v>
          </cell>
          <cell r="R1363">
            <v>2.4978238792726519</v>
          </cell>
          <cell r="T1363">
            <v>410.65264791914376</v>
          </cell>
          <cell r="V1363">
            <v>2.4978238792726519</v>
          </cell>
          <cell r="X1363">
            <v>410.65264791914376</v>
          </cell>
          <cell r="Z1363">
            <v>2.4978238792726519</v>
          </cell>
          <cell r="AB1363">
            <v>410.65264791914376</v>
          </cell>
          <cell r="AD1363">
            <v>2.4978238792726519</v>
          </cell>
          <cell r="AF1363">
            <v>410.65264791914376</v>
          </cell>
          <cell r="AH1363">
            <v>2.4978238792726519</v>
          </cell>
          <cell r="AJ1363">
            <v>410.65264791914376</v>
          </cell>
          <cell r="AL1363">
            <v>2.4978238792726519</v>
          </cell>
          <cell r="AN1363">
            <v>410.65264791914376</v>
          </cell>
          <cell r="AP1363">
            <v>2.4978238792726519</v>
          </cell>
          <cell r="AR1363">
            <v>410.65264791914376</v>
          </cell>
          <cell r="AT1363">
            <v>1796.9983617224177</v>
          </cell>
          <cell r="AV1363">
            <v>305.24829999999997</v>
          </cell>
          <cell r="AX1363">
            <v>1796.9983617224177</v>
          </cell>
          <cell r="AZ1363">
            <v>305.24829999999997</v>
          </cell>
          <cell r="BB1363">
            <v>1796.9983617224177</v>
          </cell>
          <cell r="BD1363">
            <v>305.24829999999997</v>
          </cell>
          <cell r="BF1363">
            <v>1796.9983617224177</v>
          </cell>
          <cell r="BH1363">
            <v>305.24829999999997</v>
          </cell>
          <cell r="BJ1363">
            <v>1796.9983617224177</v>
          </cell>
          <cell r="BL1363">
            <v>305.24829999999997</v>
          </cell>
          <cell r="BN1363">
            <v>1796.9983617224177</v>
          </cell>
          <cell r="BP1363">
            <v>305.24829999999997</v>
          </cell>
          <cell r="BR1363">
            <v>1178.1735134504406</v>
          </cell>
          <cell r="BT1363">
            <v>355.51639999999998</v>
          </cell>
        </row>
        <row r="1364">
          <cell r="F1364">
            <v>1514.2853159028405</v>
          </cell>
          <cell r="H1364">
            <v>319.2568</v>
          </cell>
          <cell r="J1364">
            <v>1514.2853159028405</v>
          </cell>
          <cell r="L1364">
            <v>319.2568</v>
          </cell>
          <cell r="N1364">
            <v>1514.2853159028405</v>
          </cell>
          <cell r="P1364">
            <v>319.2568</v>
          </cell>
          <cell r="R1364">
            <v>1514.2853159028405</v>
          </cell>
          <cell r="T1364">
            <v>319.2568</v>
          </cell>
          <cell r="V1364">
            <v>1514.2853159028405</v>
          </cell>
          <cell r="X1364">
            <v>319.2568</v>
          </cell>
          <cell r="Z1364">
            <v>1514.2853159028405</v>
          </cell>
          <cell r="AB1364">
            <v>319.2568</v>
          </cell>
          <cell r="AD1364">
            <v>1514.2853159028405</v>
          </cell>
          <cell r="AF1364">
            <v>319.2568</v>
          </cell>
          <cell r="AH1364">
            <v>1514.2853159028405</v>
          </cell>
          <cell r="AJ1364">
            <v>319.2568</v>
          </cell>
          <cell r="AL1364">
            <v>1514.2853159028405</v>
          </cell>
          <cell r="AN1364">
            <v>319.2568</v>
          </cell>
          <cell r="AP1364">
            <v>1514.2853159028405</v>
          </cell>
          <cell r="AR1364">
            <v>319.2568</v>
          </cell>
          <cell r="AT1364">
            <v>1698.8821506078048</v>
          </cell>
          <cell r="AV1364">
            <v>328.39229999999998</v>
          </cell>
          <cell r="AX1364">
            <v>1698.8821506078048</v>
          </cell>
          <cell r="AZ1364">
            <v>328.39229999999998</v>
          </cell>
          <cell r="BB1364">
            <v>1698.8821506078048</v>
          </cell>
          <cell r="BD1364">
            <v>328.39229999999998</v>
          </cell>
          <cell r="BF1364">
            <v>1698.8821506078048</v>
          </cell>
          <cell r="BH1364">
            <v>328.39229999999998</v>
          </cell>
          <cell r="BJ1364">
            <v>1698.8821506078048</v>
          </cell>
          <cell r="BL1364">
            <v>328.39229999999998</v>
          </cell>
          <cell r="BN1364">
            <v>1698.8821506078048</v>
          </cell>
          <cell r="BP1364">
            <v>328.39229999999998</v>
          </cell>
          <cell r="BR1364">
            <v>1378.5574883580286</v>
          </cell>
          <cell r="BT1364">
            <v>310.875</v>
          </cell>
        </row>
        <row r="1365">
          <cell r="F1365">
            <v>2.494925661225321</v>
          </cell>
          <cell r="H1365">
            <v>492.64885714285714</v>
          </cell>
          <cell r="J1365">
            <v>2.494925661225321</v>
          </cell>
          <cell r="L1365">
            <v>492.64885714285714</v>
          </cell>
          <cell r="N1365">
            <v>2.494925661225321</v>
          </cell>
          <cell r="P1365">
            <v>492.64885714285714</v>
          </cell>
          <cell r="R1365">
            <v>2.494925661225321</v>
          </cell>
          <cell r="T1365">
            <v>492.64885714285714</v>
          </cell>
          <cell r="V1365">
            <v>2.494925661225321</v>
          </cell>
          <cell r="X1365">
            <v>492.64885714285714</v>
          </cell>
          <cell r="Z1365">
            <v>2.494925661225321</v>
          </cell>
          <cell r="AB1365">
            <v>492.64885714285714</v>
          </cell>
          <cell r="AD1365">
            <v>2.494925661225321</v>
          </cell>
          <cell r="AF1365">
            <v>492.64885714285714</v>
          </cell>
          <cell r="AH1365">
            <v>2.494925661225321</v>
          </cell>
          <cell r="AJ1365">
            <v>492.64885714285714</v>
          </cell>
          <cell r="AL1365">
            <v>2.494925661225321</v>
          </cell>
          <cell r="AN1365">
            <v>492.64885714285714</v>
          </cell>
          <cell r="AP1365">
            <v>2.494925661225321</v>
          </cell>
          <cell r="AR1365">
            <v>492.64885714285714</v>
          </cell>
          <cell r="AT1365">
            <v>2.5201269305306275</v>
          </cell>
          <cell r="AV1365">
            <v>491.60542857142855</v>
          </cell>
          <cell r="AX1365">
            <v>2.5201269305306275</v>
          </cell>
          <cell r="AZ1365">
            <v>491.60542857142855</v>
          </cell>
          <cell r="BB1365">
            <v>2.5201269305306275</v>
          </cell>
          <cell r="BD1365">
            <v>491.60542857142855</v>
          </cell>
          <cell r="BF1365">
            <v>2.5201269305306275</v>
          </cell>
          <cell r="BH1365">
            <v>491.60542857142855</v>
          </cell>
          <cell r="BJ1365">
            <v>2.5201269305306275</v>
          </cell>
          <cell r="BL1365">
            <v>491.60542857142855</v>
          </cell>
          <cell r="BN1365">
            <v>2.5201269305306275</v>
          </cell>
          <cell r="BP1365">
            <v>491.60542857142855</v>
          </cell>
          <cell r="BR1365">
            <v>1.3033714805650411E-2</v>
          </cell>
          <cell r="BT1365">
            <v>529.59928571428577</v>
          </cell>
        </row>
        <row r="1366">
          <cell r="F1366">
            <v>2.4978238792726519</v>
          </cell>
          <cell r="H1366">
            <v>412.18569536605116</v>
          </cell>
          <cell r="J1366">
            <v>2.4978238792726519</v>
          </cell>
          <cell r="L1366">
            <v>412.18569536605116</v>
          </cell>
          <cell r="N1366">
            <v>2.4978238792726519</v>
          </cell>
          <cell r="P1366">
            <v>412.18569536605116</v>
          </cell>
          <cell r="R1366">
            <v>2.4978238792726519</v>
          </cell>
          <cell r="T1366">
            <v>412.18569536605116</v>
          </cell>
          <cell r="V1366">
            <v>2.4978238792726519</v>
          </cell>
          <cell r="X1366">
            <v>412.18569536605116</v>
          </cell>
          <cell r="Z1366">
            <v>2.4978238792726519</v>
          </cell>
          <cell r="AB1366">
            <v>412.18569536605116</v>
          </cell>
          <cell r="AD1366">
            <v>2.4978238792726519</v>
          </cell>
          <cell r="AF1366">
            <v>412.18569536605116</v>
          </cell>
          <cell r="AH1366">
            <v>2.4978238792726519</v>
          </cell>
          <cell r="AJ1366">
            <v>412.18569536605116</v>
          </cell>
          <cell r="AL1366">
            <v>2.4978238792726519</v>
          </cell>
          <cell r="AN1366">
            <v>412.18569536605116</v>
          </cell>
          <cell r="AP1366">
            <v>2.4978238792726519</v>
          </cell>
          <cell r="AR1366">
            <v>412.18569536605116</v>
          </cell>
          <cell r="AT1366">
            <v>2.5201269305306275</v>
          </cell>
          <cell r="AV1366">
            <v>501.19985714285707</v>
          </cell>
          <cell r="AX1366">
            <v>2.5201269305306275</v>
          </cell>
          <cell r="AZ1366">
            <v>501.19985714285707</v>
          </cell>
          <cell r="BB1366">
            <v>2.5201269305306275</v>
          </cell>
          <cell r="BD1366">
            <v>501.19985714285707</v>
          </cell>
          <cell r="BF1366">
            <v>2.5201269305306275</v>
          </cell>
          <cell r="BH1366">
            <v>501.19985714285707</v>
          </cell>
          <cell r="BJ1366">
            <v>2.5201269305306275</v>
          </cell>
          <cell r="BL1366">
            <v>501.19985714285707</v>
          </cell>
          <cell r="BN1366">
            <v>2.5201269305306275</v>
          </cell>
          <cell r="BP1366">
            <v>501.19985714285707</v>
          </cell>
          <cell r="BR1366">
            <v>1.9873951512527337E-2</v>
          </cell>
          <cell r="BT1366">
            <v>531.84700000000009</v>
          </cell>
        </row>
      </sheetData>
      <sheetData sheetId="2"/>
      <sheetData sheetId="3">
        <row r="10">
          <cell r="B10">
            <v>5</v>
          </cell>
          <cell r="C10">
            <v>4</v>
          </cell>
          <cell r="D10">
            <v>4</v>
          </cell>
        </row>
        <row r="159">
          <cell r="G159">
            <v>0.22946560064266228</v>
          </cell>
          <cell r="H159">
            <v>0.22946560064266228</v>
          </cell>
        </row>
        <row r="161">
          <cell r="G161">
            <v>9.799999999999999E-2</v>
          </cell>
          <cell r="H161">
            <v>9.799999999999999E-2</v>
          </cell>
          <cell r="I161">
            <v>0</v>
          </cell>
        </row>
        <row r="167">
          <cell r="B167">
            <v>0.5</v>
          </cell>
          <cell r="C167">
            <v>0.5</v>
          </cell>
        </row>
        <row r="188">
          <cell r="J188">
            <v>0.45100000000000001</v>
          </cell>
          <cell r="M188">
            <v>0.45100000000000001</v>
          </cell>
        </row>
      </sheetData>
      <sheetData sheetId="4"/>
      <sheetData sheetId="5">
        <row r="5">
          <cell r="D5">
            <v>0</v>
          </cell>
        </row>
      </sheetData>
      <sheetData sheetId="6"/>
      <sheetData sheetId="7"/>
      <sheetData sheetId="8">
        <row r="37">
          <cell r="B37">
            <v>0.16031151016933098</v>
          </cell>
          <cell r="F37">
            <v>0.38885793812922986</v>
          </cell>
        </row>
      </sheetData>
      <sheetData sheetId="9"/>
      <sheetData sheetId="10">
        <row r="136">
          <cell r="F136" t="str">
            <v>Total</v>
          </cell>
          <cell r="G136" t="str">
            <v>Urban</v>
          </cell>
        </row>
        <row r="137">
          <cell r="F137">
            <v>3292538.9494134923</v>
          </cell>
        </row>
        <row r="139">
          <cell r="F139">
            <v>0</v>
          </cell>
        </row>
        <row r="204">
          <cell r="G204">
            <v>1898632.3532402255</v>
          </cell>
        </row>
        <row r="205">
          <cell r="G205">
            <v>1441244.6572477687</v>
          </cell>
        </row>
        <row r="206">
          <cell r="G206">
            <v>460516.82729685196</v>
          </cell>
        </row>
        <row r="208">
          <cell r="G208">
            <v>11527.120698758277</v>
          </cell>
        </row>
      </sheetData>
      <sheetData sheetId="11"/>
      <sheetData sheetId="12"/>
      <sheetData sheetId="13"/>
      <sheetData sheetId="14">
        <row r="7">
          <cell r="B7">
            <v>1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J7">
            <v>0</v>
          </cell>
          <cell r="N7">
            <v>0</v>
          </cell>
          <cell r="O7">
            <v>0</v>
          </cell>
          <cell r="P7">
            <v>0</v>
          </cell>
          <cell r="R7">
            <v>0</v>
          </cell>
        </row>
        <row r="8">
          <cell r="B8">
            <v>1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J8">
            <v>0</v>
          </cell>
          <cell r="N8">
            <v>0</v>
          </cell>
          <cell r="O8">
            <v>0</v>
          </cell>
          <cell r="P8">
            <v>0</v>
          </cell>
          <cell r="R8">
            <v>0</v>
          </cell>
        </row>
      </sheetData>
      <sheetData sheetId="15">
        <row r="7">
          <cell r="C7">
            <v>1</v>
          </cell>
        </row>
        <row r="399">
          <cell r="BW399">
            <v>899.75060605446106</v>
          </cell>
          <cell r="EX399">
            <v>944.84626572710476</v>
          </cell>
          <cell r="FP399">
            <v>899.75060605446106</v>
          </cell>
          <cell r="FX399">
            <v>899.75060605446106</v>
          </cell>
        </row>
      </sheetData>
      <sheetData sheetId="16">
        <row r="466">
          <cell r="P466">
            <v>580.6329020458204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2">
          <cell r="B12">
            <v>128448.52692210001</v>
          </cell>
          <cell r="E12">
            <v>2709</v>
          </cell>
          <cell r="H12">
            <v>1.6000000000000001E-3</v>
          </cell>
        </row>
        <row r="15">
          <cell r="B15">
            <v>116090</v>
          </cell>
          <cell r="E15">
            <v>2819</v>
          </cell>
          <cell r="F15">
            <v>0.86299999999999999</v>
          </cell>
        </row>
        <row r="16">
          <cell r="B16">
            <v>112193.52</v>
          </cell>
          <cell r="E16">
            <v>2835.5620000000004</v>
          </cell>
          <cell r="F16">
            <v>0.82778546968819577</v>
          </cell>
        </row>
        <row r="17">
          <cell r="B17">
            <v>112193.52</v>
          </cell>
          <cell r="E17">
            <v>2835.5620000000004</v>
          </cell>
          <cell r="F17">
            <v>0.82778546968819577</v>
          </cell>
        </row>
        <row r="20">
          <cell r="B20">
            <v>128450</v>
          </cell>
          <cell r="E20">
            <v>3167</v>
          </cell>
          <cell r="F20">
            <v>0.86499999999999999</v>
          </cell>
          <cell r="H20">
            <v>2.0000000000000001E-4</v>
          </cell>
        </row>
        <row r="23">
          <cell r="B23">
            <v>129487.84757606639</v>
          </cell>
          <cell r="E23">
            <v>3206</v>
          </cell>
          <cell r="F23">
            <v>0.871</v>
          </cell>
          <cell r="H23">
            <v>1.1E-5</v>
          </cell>
        </row>
        <row r="24">
          <cell r="B24">
            <v>116920</v>
          </cell>
          <cell r="E24">
            <v>2745</v>
          </cell>
          <cell r="F24">
            <v>0.85</v>
          </cell>
        </row>
        <row r="25">
          <cell r="B25">
            <v>118237.434842673</v>
          </cell>
          <cell r="E25">
            <v>2833.8569764657</v>
          </cell>
          <cell r="F25">
            <v>0.85315638757897505</v>
          </cell>
        </row>
        <row r="28">
          <cell r="B28">
            <v>111520</v>
          </cell>
          <cell r="E28">
            <v>2651</v>
          </cell>
          <cell r="F28">
            <v>0.84199999999999997</v>
          </cell>
        </row>
        <row r="31">
          <cell r="B31">
            <v>57250</v>
          </cell>
          <cell r="E31">
            <v>3006</v>
          </cell>
          <cell r="F31">
            <v>0.375</v>
          </cell>
        </row>
        <row r="32">
          <cell r="B32">
            <v>76330</v>
          </cell>
          <cell r="E32">
            <v>2988</v>
          </cell>
          <cell r="F32">
            <v>0.52200000000000002</v>
          </cell>
          <cell r="H32">
            <v>4.9999999999999998E-7</v>
          </cell>
        </row>
        <row r="33">
          <cell r="B33">
            <v>99837</v>
          </cell>
          <cell r="C33">
            <v>99837</v>
          </cell>
          <cell r="E33">
            <v>3065</v>
          </cell>
          <cell r="F33">
            <v>0.64859999999999995</v>
          </cell>
        </row>
        <row r="35">
          <cell r="B35">
            <v>116090</v>
          </cell>
          <cell r="E35">
            <v>2819</v>
          </cell>
          <cell r="F35">
            <v>0.86299999999999999</v>
          </cell>
          <cell r="H35">
            <v>1.0000000000000001E-5</v>
          </cell>
        </row>
        <row r="36">
          <cell r="B36">
            <v>84950</v>
          </cell>
          <cell r="E36">
            <v>1923</v>
          </cell>
          <cell r="F36">
            <v>0.82</v>
          </cell>
        </row>
        <row r="37">
          <cell r="B37">
            <v>74720</v>
          </cell>
          <cell r="E37">
            <v>1621</v>
          </cell>
          <cell r="F37">
            <v>0.75</v>
          </cell>
        </row>
        <row r="38">
          <cell r="B38">
            <v>68930</v>
          </cell>
          <cell r="E38">
            <v>2518</v>
          </cell>
          <cell r="F38">
            <v>0.52200000000000002</v>
          </cell>
        </row>
        <row r="40">
          <cell r="B40">
            <v>119624</v>
          </cell>
          <cell r="E40">
            <v>3335.2646966100001</v>
          </cell>
          <cell r="F40">
            <v>0.77600000000000002</v>
          </cell>
          <cell r="H40">
            <v>0</v>
          </cell>
        </row>
        <row r="41">
          <cell r="B41">
            <v>123670</v>
          </cell>
          <cell r="E41">
            <v>3017</v>
          </cell>
          <cell r="F41">
            <v>0.85299999999999998</v>
          </cell>
        </row>
        <row r="42">
          <cell r="B42">
            <v>117059</v>
          </cell>
          <cell r="E42">
            <v>2835</v>
          </cell>
          <cell r="F42">
            <v>0.871</v>
          </cell>
        </row>
        <row r="43">
          <cell r="B43">
            <v>122887</v>
          </cell>
          <cell r="E43">
            <v>2948</v>
          </cell>
          <cell r="F43">
            <v>0.871</v>
          </cell>
        </row>
        <row r="44">
          <cell r="B44">
            <v>123542.426446789</v>
          </cell>
          <cell r="E44">
            <v>3003.2639480974099</v>
          </cell>
        </row>
        <row r="52">
          <cell r="E52">
            <v>2810</v>
          </cell>
        </row>
        <row r="81">
          <cell r="B81">
            <v>941.11171495033648</v>
          </cell>
          <cell r="E81">
            <v>20.947132334097159</v>
          </cell>
          <cell r="F81">
            <v>0.7114847270708401</v>
          </cell>
        </row>
        <row r="95">
          <cell r="B95">
            <v>16085444.010446707</v>
          </cell>
        </row>
        <row r="96">
          <cell r="B96">
            <v>10805182.822031699</v>
          </cell>
        </row>
        <row r="98">
          <cell r="B98">
            <v>9945646.340310514</v>
          </cell>
        </row>
        <row r="99">
          <cell r="B99">
            <v>26949428.734871496</v>
          </cell>
        </row>
        <row r="151">
          <cell r="B151">
            <v>29.8</v>
          </cell>
        </row>
        <row r="152">
          <cell r="B152">
            <v>273</v>
          </cell>
        </row>
        <row r="157">
          <cell r="B157">
            <v>0</v>
          </cell>
        </row>
        <row r="158">
          <cell r="B158">
            <v>0</v>
          </cell>
        </row>
        <row r="159">
          <cell r="B159">
            <v>0</v>
          </cell>
        </row>
        <row r="160">
          <cell r="B160">
            <v>0</v>
          </cell>
        </row>
        <row r="161">
          <cell r="B161">
            <v>0</v>
          </cell>
        </row>
        <row r="164">
          <cell r="B164">
            <v>0.85</v>
          </cell>
        </row>
        <row r="165">
          <cell r="B165">
            <v>0.42857142857142855</v>
          </cell>
        </row>
        <row r="166">
          <cell r="B166">
            <v>0.75</v>
          </cell>
        </row>
        <row r="167">
          <cell r="B167">
            <v>0.27272727272727271</v>
          </cell>
        </row>
        <row r="168">
          <cell r="B168">
            <v>0.5</v>
          </cell>
        </row>
        <row r="192">
          <cell r="E192">
            <v>453.59237000000002</v>
          </cell>
        </row>
        <row r="211">
          <cell r="E211">
            <v>3.4121416416012482</v>
          </cell>
        </row>
      </sheetData>
      <sheetData sheetId="30">
        <row r="644">
          <cell r="U644">
            <v>35</v>
          </cell>
          <cell r="V644">
            <v>30</v>
          </cell>
          <cell r="W644">
            <v>40</v>
          </cell>
          <cell r="X644">
            <v>50</v>
          </cell>
        </row>
      </sheetData>
      <sheetData sheetId="31"/>
      <sheetData sheetId="32"/>
      <sheetData sheetId="33"/>
      <sheetData sheetId="34">
        <row r="145">
          <cell r="C145">
            <v>0.7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ael Wang" id="{D634943B-9AC2-4364-9704-324B35331AD5}" userId="Michael Wang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6" personId="{D634943B-9AC2-4364-9704-324B35331AD5}" id="{73C1FAF4-DE0B-4C57-97AA-D17405D993CE}">
    <text>This is the amount of CO2 contained in the burnt ethanol that is from the atmosphere. This is a credit during growth of plants.</text>
  </threadedComment>
  <threadedComment ref="C26" personId="{D634943B-9AC2-4364-9704-324B35331AD5}" id="{59B0650C-D2C0-47EB-A581-5844E9E205B8}">
    <text>This is the amount of CO2 contained in the burnt ethanol that is from the atmosphere. This is a credit during growth of plants.</text>
  </threadedComment>
  <threadedComment ref="D26" personId="{D634943B-9AC2-4364-9704-324B35331AD5}" id="{E1B0312D-9C13-4A30-A015-8B874E3D0612}">
    <text>This is the amount of CO2 contained in the burnt ethanol that is from the atmosphere. This is a credit during growth of plants.</text>
  </threadedComment>
  <threadedComment ref="I26" personId="{D634943B-9AC2-4364-9704-324B35331AD5}" id="{2AE2B060-4D12-4768-9112-E58F9B0BC3E2}">
    <text>This is the amount of CO2 contained in the burnt ethanol (as gasoline oxygenate) that is from the atmosphere. It is treated as a credit during growth of plants.</text>
  </threadedComment>
  <threadedComment ref="J26" personId="{D634943B-9AC2-4364-9704-324B35331AD5}" id="{A75EDD01-F3A8-4978-A533-2062DBB723A0}">
    <text>This is the amount of CO2 contained in the burnt ethanol (as gasoline oxygenate) that is from the atmosphere. It is treated as a credit during growth of plants.</text>
  </threadedComment>
  <threadedComment ref="K26" personId="{D634943B-9AC2-4364-9704-324B35331AD5}" id="{A6B36609-E697-4721-B530-9908D4597213}">
    <text>This is the amount of CO2 contained in the burnt ethanol that is from the atmosphere. It is treated as a credit during growth of plants.</text>
  </threadedComment>
  <threadedComment ref="L26" personId="{D634943B-9AC2-4364-9704-324B35331AD5}" id="{86132640-25EB-485F-9A30-C3790DD6D565}">
    <text>This is the amount of CO2 contained in the burnt ethanol that is from the atmosphere. It is treated as a credit during growth of plants.</text>
  </threadedComment>
  <threadedComment ref="M26" personId="{D634943B-9AC2-4364-9704-324B35331AD5}" id="{3399C1DE-C73A-4E7D-A314-A98BE43ED45C}">
    <text>This is the amount of CO2 contained in the burnt ethanol that is from the atmosphere. This is a credit during growth of plants.</text>
  </threadedComment>
  <threadedComment ref="S26" personId="{D634943B-9AC2-4364-9704-324B35331AD5}" id="{D9F265CA-41A3-4CE0-A25C-7A7EF31DB9FF}">
    <text>This is the amount of CO2 contained in the burnt ethanol that is from the atmosphere. This is a credit during growth of plants.</text>
  </threadedComment>
  <threadedComment ref="T26" personId="{D634943B-9AC2-4364-9704-324B35331AD5}" id="{E84726C9-2F18-480F-9C16-CF6E94263893}">
    <text>This is the amount of CO2 contained in the burnt ethanol that is from the atmosphere. This is a credit during growth of plants.</text>
  </threadedComment>
  <threadedComment ref="U26" personId="{D634943B-9AC2-4364-9704-324B35331AD5}" id="{91C25886-298D-417D-95D0-0C2B18049A93}">
    <text>This is the amount of CO2 contained in the burnt ethanol that is from the atmosphere. This is a credit during growth of plants.</text>
  </threadedComment>
  <threadedComment ref="V26" personId="{D634943B-9AC2-4364-9704-324B35331AD5}" id="{0AE0FE4F-70AE-43B8-8505-C94B74FC7710}">
    <text>This is the amount of CO2 contained in the burnt ethanol that is from the atmosphere. This is a credit during growth of plants.</text>
  </threadedComment>
  <threadedComment ref="W26" personId="{D634943B-9AC2-4364-9704-324B35331AD5}" id="{2762C695-1C58-4CD2-9CEC-D0D34618A0D9}">
    <text>This is the amount of CO2 contained in the burnt ethanol that is from the atmosphere. This is a credit during growth of plants.</text>
  </threadedComment>
  <threadedComment ref="X26" personId="{D634943B-9AC2-4364-9704-324B35331AD5}" id="{9FD2471E-0207-40AA-9FAF-32CC69E4A664}">
    <text>This is the amount of CO2 contained in the burnt ethanol that is from the atmosphere. This is a credit during growth of plants.</text>
  </threadedComment>
  <threadedComment ref="Y26" personId="{D634943B-9AC2-4364-9704-324B35331AD5}" id="{AA2BD271-EB0F-4FC3-A3C0-2CBFA47D6908}">
    <text>This is the amount of CO2 contained in the burnt ethanol (as gasoline oxygenate) that is from the atmosphere. It is treated as a credit during growth of plants.</text>
  </threadedComment>
  <threadedComment ref="Z26" personId="{D634943B-9AC2-4364-9704-324B35331AD5}" id="{DB016ED8-3336-4C94-82BF-1E569CCAFAC6}">
    <text>This is the amount of CO2 contained in the burnt ethanol that is from the atmosphere. This is a credit during growth of plants.</text>
  </threadedComment>
  <threadedComment ref="AD26" personId="{D634943B-9AC2-4364-9704-324B35331AD5}" id="{905A59E5-10AD-48F6-AFA4-005AA4DD191A}">
    <text>This is the amount of CO2 contained in the burnt biodiesel that is from the atmosphere. This is a credit during growth of plants.
Note that carbon comes from methanol is from fossil, which does not become biogenic credit (GREET 2018).</text>
  </threadedComment>
  <threadedComment ref="AF26" personId="{D634943B-9AC2-4364-9704-324B35331AD5}" id="{BB34ABA7-C2F2-4435-B456-8A880BBFB9F3}">
    <text>This is the amount of CO2 contained in the burnt ethanol that is from the atmosphere. It is treated as a credit during growth of plants.</text>
  </threadedComment>
  <threadedComment ref="AH26" personId="{D634943B-9AC2-4364-9704-324B35331AD5}" id="{18ABC567-AC40-41F0-B099-C7C6D8843FB3}">
    <text>This is the amount of CO2 contained in the burnt ethanol that is from the atmosphere. This is a credit during growth of plants.</text>
  </threadedComment>
  <threadedComment ref="AI26" personId="{D634943B-9AC2-4364-9704-324B35331AD5}" id="{5DCC08AB-DBF4-4CF8-8BB0-53A398285AC8}">
    <text>This is the amount of CO2 contained in the burnt ethanol that is from the atmosphere. This is a credit during growth of plants.</text>
  </threadedComment>
  <threadedComment ref="AK26" personId="{D634943B-9AC2-4364-9704-324B35331AD5}" id="{9A10C73E-4E1F-446A-9388-0D6096F93AC3}">
    <text>This is the amount of CO2 contained in the burnt ethanol that is from the atmosphere. This is a credit during growth of plants.</text>
  </threadedComment>
  <threadedComment ref="AO26" personId="{D634943B-9AC2-4364-9704-324B35331AD5}" id="{CA1FC264-2EB5-487E-BD18-CC5ADDB5A5AB}">
    <text>This is the amount of CO2 contained in the burnt ethanol (as gasoline oxygenate) that is from the atmosphere. It is treated as a credit during growth of plants.</text>
  </threadedComment>
  <threadedComment ref="AP26" personId="{D634943B-9AC2-4364-9704-324B35331AD5}" id="{C991B398-3773-47D7-8948-DBF7C0AAEE9B}">
    <text>This is the amount of CO2 contained in the burnt ethanol that is from the atmosphere. This is a credit during growth of plants.</text>
  </threadedComment>
  <threadedComment ref="AV26" personId="{D634943B-9AC2-4364-9704-324B35331AD5}" id="{4C3B7021-2382-4FBE-A02A-68C9DBDAD4D4}">
    <text>This is the amount of CO2 contained in the burnt ethanol that is from the atmosphere. This is a credit during growth of plants.</text>
  </threadedComment>
  <threadedComment ref="AY26" personId="{D634943B-9AC2-4364-9704-324B35331AD5}" id="{56F3247C-B3F0-451B-BC54-D9C51677BCD7}">
    <text>This is the amount of CO2 contained in the burnt ethanol that is from the atmosphere. This is a credit during growth of plants.</text>
  </threadedComment>
  <threadedComment ref="AZ26" personId="{D634943B-9AC2-4364-9704-324B35331AD5}" id="{9345B280-79EC-4C60-8BF0-8CE96D12B953}">
    <text>This is the amount of CO2 contained in the burnt ethanol that is from the atmosphere. This is a credit during growth of plants.</text>
  </threadedComment>
  <threadedComment ref="BG26" personId="{D634943B-9AC2-4364-9704-324B35331AD5}" id="{378FF4D2-7B0F-40A4-A782-BAB25787B876}">
    <text>This is the amount of CO2 contained in the burnt ethanol that is from the atmosphere. This is a credit during growth of plants.</text>
  </threadedComment>
  <threadedComment ref="BH26" personId="{D634943B-9AC2-4364-9704-324B35331AD5}" id="{2D596003-4A9F-43DC-9787-D6ED09FB2501}">
    <text>This is the amount of CO2 contained in the burnt ethanol that is from the atmosphere. This is a credit during growth of plants.</text>
  </threadedComment>
  <threadedComment ref="BW26" personId="{D634943B-9AC2-4364-9704-324B35331AD5}" id="{9D1653B3-1EED-4005-91FD-BFBCF64D5BA8}">
    <text>This is the amount of CO2 contained in the burnt ethanol (as gasoline oxygenate) that is from the atmosphere. It is treated as a credit during growth of plants.</text>
  </threadedComment>
  <threadedComment ref="BX26" personId="{D634943B-9AC2-4364-9704-324B35331AD5}" id="{1A62CE3F-6C6A-4F75-B8A0-9735A668D4C3}">
    <text>This is the amount of CO2 contained in the burnt ethanol (as gasoline oxygenate) that is from the atmosphere. It is treated as a credit during growth of plants.</text>
  </threadedComment>
  <threadedComment ref="CB26" personId="{D634943B-9AC2-4364-9704-324B35331AD5}" id="{220D857E-F9F0-4451-B572-6EF8F552CF7A}">
    <text>This is the amount of CO2 contained in the burnt ethanol that is from the atmosphere. This is a credit during growth of plants.</text>
  </threadedComment>
  <threadedComment ref="CK26" personId="{D634943B-9AC2-4364-9704-324B35331AD5}" id="{449255BD-6B7B-4857-8622-9D9FD2DD7A08}">
    <text>This is the amount of CO2 contained in the burnt biodiesel that is from the atmosphere. This is a credit during growth of plants.
Note that carbon comes from methanol is from fossil, which does not become biogenic credit (GREET 2018).</text>
  </threadedComment>
  <threadedComment ref="CM26" personId="{D634943B-9AC2-4364-9704-324B35331AD5}" id="{8D5A0799-A347-4F72-A773-53257FEE7D2D}">
    <text>This is the amount of CO2 contained in the burnt ethanol that is from the atmosphere. It is treated as a credit during growth of plants.</text>
  </threadedComment>
  <threadedComment ref="DB26" personId="{D634943B-9AC2-4364-9704-324B35331AD5}" id="{4E52D98A-5512-458F-BB63-D5196E1A4ECF}">
    <text>This is the amount of CO2 contained in the burnt biodiesel that is from the atmosphere. This is a credit during growth of plants.
Note that carbon comes from methanol is from fossil, which does not become biogenic credit (GREET 2018).</text>
  </threadedComment>
  <threadedComment ref="DC26" personId="{D634943B-9AC2-4364-9704-324B35331AD5}" id="{C70F2840-77FB-4D02-AF88-B4A85885DDF5}">
    <text>This is the amount of CO2 contained in the burnt biodiesel that is from the atmosphere. This is a credit during growth of plants.
Note that carbon comes from methanol is from fossil, which does not become biogenic credit (GREET 2018).</text>
  </threadedComment>
  <threadedComment ref="DJ26" personId="{D634943B-9AC2-4364-9704-324B35331AD5}" id="{4CBD2426-E8EC-440D-93BF-C318EACD3542}">
    <text>This is the amount of CO2 contained in the burnt ethanol that is from the atmosphere. It is treated as a credit during growth of plants.</text>
  </threadedComment>
  <threadedComment ref="DK26" personId="{D634943B-9AC2-4364-9704-324B35331AD5}" id="{0DC2A877-F736-479D-96EF-7319486D9C81}">
    <text>This is the amount of CO2 contained in the burnt ethanol that is from the atmosphere. It is treated as a credit during growth of plants.</text>
  </threadedComment>
  <threadedComment ref="DS26" personId="{D634943B-9AC2-4364-9704-324B35331AD5}" id="{86A3B037-C5CE-4AD2-B480-4E7DBA8911CC}">
    <text>This is the amount of CO2 contained in the ethanol that is from the atmosphere. This is a credit during growth of plants.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683E-F563-4C6E-9549-3179A48DE633}">
  <dimension ref="A1:EE26"/>
  <sheetViews>
    <sheetView tabSelected="1" workbookViewId="0">
      <selection sqref="A1:EE26"/>
    </sheetView>
  </sheetViews>
  <sheetFormatPr defaultRowHeight="15" x14ac:dyDescent="0.25"/>
  <sheetData>
    <row r="1" spans="1:135" ht="163.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e">
        <f>"RG" &amp;  TEXT([1]Vehicles!#REF!*100,"0") &amp; " Vehicle"</f>
        <v>#REF!</v>
      </c>
      <c r="Q1" s="2" t="e">
        <f>"RG" &amp;  TEXT([1]Vehicles!#REF!*100,"0") &amp; " Vehicle: IDL"</f>
        <v>#REF!</v>
      </c>
      <c r="R1" s="2" t="e">
        <f>"RG" &amp;  TEXT([1]Vehicles!#REF!*100,"0") &amp; " Vehicle: Ex Situ CFP"</f>
        <v>#REF!</v>
      </c>
      <c r="S1" s="2" t="s">
        <v>14</v>
      </c>
      <c r="T1" s="2" t="s">
        <v>15</v>
      </c>
      <c r="U1" s="2" t="s">
        <v>16</v>
      </c>
      <c r="V1" s="3" t="s">
        <v>17</v>
      </c>
      <c r="W1" s="2" t="s">
        <v>18</v>
      </c>
      <c r="X1" s="2" t="s">
        <v>19</v>
      </c>
      <c r="Y1" s="2" t="s">
        <v>20</v>
      </c>
      <c r="Z1" s="4" t="s">
        <v>21</v>
      </c>
      <c r="AA1" s="2" t="s">
        <v>22</v>
      </c>
      <c r="AB1" s="2" t="s">
        <v>23</v>
      </c>
      <c r="AC1" s="2" t="s">
        <v>24</v>
      </c>
      <c r="AD1" s="2" t="e">
        <f>"CIDI Vehicle: " &amp; "BD" &amp; TEXT([1]Inputs!F884*100,"0")</f>
        <v>#VALUE!</v>
      </c>
      <c r="AE1" s="2" t="e">
        <f>"CIDI Vehicle: RD" &amp;TEXT([1]Vehicles!#REF!*100,"0")</f>
        <v>#REF!</v>
      </c>
      <c r="AF1" s="2" t="s">
        <v>25</v>
      </c>
      <c r="AG1" s="2" t="s">
        <v>26</v>
      </c>
      <c r="AH1" s="3" t="s">
        <v>27</v>
      </c>
      <c r="AI1" s="2" t="s">
        <v>28</v>
      </c>
      <c r="AJ1" s="2" t="s">
        <v>29</v>
      </c>
      <c r="AK1" s="2" t="s">
        <v>30</v>
      </c>
      <c r="AL1" s="2" t="s">
        <v>31</v>
      </c>
      <c r="AM1" s="2" t="s">
        <v>32</v>
      </c>
      <c r="AN1" s="2" t="s">
        <v>33</v>
      </c>
      <c r="AO1" s="2" t="s">
        <v>34</v>
      </c>
      <c r="AP1" s="2" t="s">
        <v>35</v>
      </c>
      <c r="AQ1" s="2" t="s">
        <v>36</v>
      </c>
      <c r="AR1" s="4" t="s">
        <v>37</v>
      </c>
      <c r="AS1" s="2" t="s">
        <v>38</v>
      </c>
      <c r="AT1" s="2" t="s">
        <v>39</v>
      </c>
      <c r="AU1" s="2" t="s">
        <v>40</v>
      </c>
      <c r="AV1" s="2" t="s">
        <v>41</v>
      </c>
      <c r="AW1" s="3" t="s">
        <v>42</v>
      </c>
      <c r="AX1" s="2" t="s">
        <v>43</v>
      </c>
      <c r="AY1" s="2" t="s">
        <v>44</v>
      </c>
      <c r="AZ1" s="4" t="s">
        <v>45</v>
      </c>
      <c r="BA1" s="3" t="s">
        <v>46</v>
      </c>
      <c r="BB1" s="2" t="s">
        <v>47</v>
      </c>
      <c r="BC1" s="2" t="s">
        <v>48</v>
      </c>
      <c r="BD1" s="4" t="s">
        <v>49</v>
      </c>
      <c r="BE1" s="2" t="s">
        <v>50</v>
      </c>
      <c r="BF1" s="2" t="s">
        <v>51</v>
      </c>
      <c r="BG1" s="2" t="s">
        <v>52</v>
      </c>
      <c r="BH1" s="2" t="s">
        <v>53</v>
      </c>
      <c r="BI1" s="3" t="s">
        <v>54</v>
      </c>
      <c r="BJ1" s="2" t="s">
        <v>55</v>
      </c>
      <c r="BK1" s="2" t="s">
        <v>56</v>
      </c>
      <c r="BL1" s="4" t="s">
        <v>57</v>
      </c>
      <c r="BM1" s="2" t="s">
        <v>58</v>
      </c>
      <c r="BN1" s="2" t="s">
        <v>59</v>
      </c>
      <c r="BO1" s="2" t="s">
        <v>60</v>
      </c>
      <c r="BP1" s="2" t="s">
        <v>61</v>
      </c>
      <c r="BQ1" s="3" t="s">
        <v>62</v>
      </c>
      <c r="BR1" s="2" t="s">
        <v>63</v>
      </c>
      <c r="BS1" s="2" t="s">
        <v>64</v>
      </c>
      <c r="BT1" s="4" t="s">
        <v>65</v>
      </c>
      <c r="BU1" s="2" t="s">
        <v>66</v>
      </c>
      <c r="BV1" s="2" t="s">
        <v>67</v>
      </c>
      <c r="BW1" s="2" t="s">
        <v>68</v>
      </c>
      <c r="BX1" s="2" t="s">
        <v>69</v>
      </c>
      <c r="BY1" s="3" t="s">
        <v>70</v>
      </c>
      <c r="BZ1" s="2" t="s">
        <v>71</v>
      </c>
      <c r="CA1" s="2" t="s">
        <v>72</v>
      </c>
      <c r="CB1" s="4" t="s">
        <v>73</v>
      </c>
      <c r="CC1" s="2" t="s">
        <v>74</v>
      </c>
      <c r="CD1" s="2" t="s">
        <v>75</v>
      </c>
      <c r="CE1" s="2" t="s">
        <v>76</v>
      </c>
      <c r="CF1" s="2" t="s">
        <v>77</v>
      </c>
      <c r="CG1" s="2" t="s">
        <v>78</v>
      </c>
      <c r="CH1" s="3" t="s">
        <v>79</v>
      </c>
      <c r="CI1" s="2" t="s">
        <v>80</v>
      </c>
      <c r="CJ1" s="2" t="s">
        <v>81</v>
      </c>
      <c r="CK1" s="2" t="e">
        <f>"Grid-Independent CIDI HEV: " &amp;"BD"&amp; TEXT([1]Inputs!F884*100,"0")</f>
        <v>#VALUE!</v>
      </c>
      <c r="CL1" s="2" t="e">
        <f>"Grid-Independent CIDI HEV: " &amp;"RD"&amp;TEXT([1]Vehicles!#REF!*100,"0")</f>
        <v>#REF!</v>
      </c>
      <c r="CM1" s="4" t="s">
        <v>82</v>
      </c>
      <c r="CN1" s="2" t="s">
        <v>83</v>
      </c>
      <c r="CO1" s="2" t="s">
        <v>84</v>
      </c>
      <c r="CP1" s="2" t="s">
        <v>85</v>
      </c>
      <c r="CQ1" s="2" t="s">
        <v>86</v>
      </c>
      <c r="CR1" s="3" t="s">
        <v>87</v>
      </c>
      <c r="CS1" s="2" t="s">
        <v>88</v>
      </c>
      <c r="CT1" s="2" t="s">
        <v>89</v>
      </c>
      <c r="CU1" s="4" t="s">
        <v>90</v>
      </c>
      <c r="CV1" s="2" t="s">
        <v>91</v>
      </c>
      <c r="CW1" s="2" t="s">
        <v>92</v>
      </c>
      <c r="CX1" s="2" t="s">
        <v>93</v>
      </c>
      <c r="CY1" s="2" t="s">
        <v>94</v>
      </c>
      <c r="CZ1" s="3" t="e">
        <f>"Grid-Connected CIDI PHEV CS Mode: " &amp; "BD" &amp; TEXT([1]Inputs!F884*100,"0") &amp; ", CD Combined"</f>
        <v>#VALUE!</v>
      </c>
      <c r="DA1" s="2" t="e">
        <f>"Grid-Connected CIDI PHEV CS Mode: " &amp; "BD" &amp; TEXT([1]Inputs!F884*100,"0") &amp; ", CD Electric, w/ charger"</f>
        <v>#VALUE!</v>
      </c>
      <c r="DB1" s="2" t="e">
        <f>"Grid-Connected CIDI PHEV CS Mode: " &amp; "BD" &amp; TEXT([1]Inputs!F884*100,"0") &amp; ", CD On-Board"</f>
        <v>#VALUE!</v>
      </c>
      <c r="DC1" s="4" t="e">
        <f>"Grid-Connected CIDI PHEV CS Mode: " &amp; "BD" &amp; TEXT([1]Inputs!F884*100,"0") &amp; ", CS Mode"</f>
        <v>#VALUE!</v>
      </c>
      <c r="DD1" s="3" t="e">
        <f>"Grid-Connected CIDI PHEV CS Mode: " &amp; "RD"&amp;TEXT([1]Vehicles!#REF!*100,"0") &amp; ", CD Combined"</f>
        <v>#REF!</v>
      </c>
      <c r="DE1" s="2" t="e">
        <f>"Grid-Connected CIDI PHEV CS Mode: " &amp; "RD"&amp;TEXT([1]Vehicles!#REF!*100,"0") &amp; ", CD Electric, w/ charger"</f>
        <v>#REF!</v>
      </c>
      <c r="DF1" s="2" t="e">
        <f>"Grid-Connected CIDI PHEV CS Mode: " &amp; "RD"&amp;TEXT([1]Vehicles!#REF!*100,"0") &amp; ", CD On-Board"</f>
        <v>#REF!</v>
      </c>
      <c r="DG1" s="4" t="e">
        <f>"Grid-Connected CIDI PHEV CS Mode: " &amp; "RD"&amp;TEXT([1]Vehicles!#REF!*100,"0") &amp; ", CS Mode"</f>
        <v>#REF!</v>
      </c>
      <c r="DH1" s="2" t="s">
        <v>95</v>
      </c>
      <c r="DI1" s="2" t="s">
        <v>96</v>
      </c>
      <c r="DJ1" s="2" t="s">
        <v>97</v>
      </c>
      <c r="DK1" s="2" t="s">
        <v>98</v>
      </c>
      <c r="DL1" s="3" t="s">
        <v>99</v>
      </c>
      <c r="DM1" s="2" t="s">
        <v>100</v>
      </c>
      <c r="DN1" s="2" t="s">
        <v>101</v>
      </c>
      <c r="DO1" s="2" t="s">
        <v>102</v>
      </c>
      <c r="DP1" s="2" t="s">
        <v>103</v>
      </c>
      <c r="DQ1" s="2" t="s">
        <v>104</v>
      </c>
      <c r="DR1" s="2" t="s">
        <v>105</v>
      </c>
      <c r="DS1" s="2" t="s">
        <v>106</v>
      </c>
      <c r="DT1" s="2" t="s">
        <v>107</v>
      </c>
      <c r="DU1" s="2" t="s">
        <v>108</v>
      </c>
      <c r="DV1" s="2" t="s">
        <v>109</v>
      </c>
      <c r="DW1" s="4" t="s">
        <v>110</v>
      </c>
      <c r="DX1" s="2" t="s">
        <v>111</v>
      </c>
      <c r="DY1" s="2" t="s">
        <v>112</v>
      </c>
      <c r="DZ1" s="2" t="s">
        <v>113</v>
      </c>
      <c r="EA1" s="4" t="s">
        <v>114</v>
      </c>
      <c r="EB1" s="4" t="s">
        <v>115</v>
      </c>
      <c r="EC1" s="2" t="s">
        <v>116</v>
      </c>
      <c r="ED1" s="4" t="s">
        <v>117</v>
      </c>
      <c r="EE1" s="4" t="s">
        <v>118</v>
      </c>
    </row>
    <row r="2" spans="1:135" x14ac:dyDescent="0.25">
      <c r="A2" s="5" t="s">
        <v>119</v>
      </c>
      <c r="B2" s="6">
        <f>[1]Urban_Shares!C145</f>
        <v>0.7</v>
      </c>
      <c r="C2" s="6">
        <f>[1]Urban_Shares!E145</f>
        <v>0</v>
      </c>
      <c r="D2" s="6">
        <f>[1]Urban_Shares!F145</f>
        <v>0</v>
      </c>
      <c r="E2" s="6">
        <f>[1]Urban_Shares!G145</f>
        <v>0</v>
      </c>
      <c r="F2" s="6">
        <f>[1]Urban_Shares!H145</f>
        <v>0</v>
      </c>
      <c r="G2" s="6">
        <f>[1]Urban_Shares!I145</f>
        <v>0</v>
      </c>
      <c r="H2" s="6">
        <f>[1]Urban_Shares!J145</f>
        <v>0</v>
      </c>
      <c r="I2" s="6">
        <f>[1]Urban_Shares!K145</f>
        <v>0</v>
      </c>
      <c r="J2" s="6">
        <f>[1]Urban_Shares!L145</f>
        <v>0</v>
      </c>
      <c r="K2" s="6">
        <f>[1]Urban_Shares!M145</f>
        <v>0</v>
      </c>
      <c r="L2" s="6">
        <f>[1]Urban_Shares!N145</f>
        <v>0</v>
      </c>
      <c r="M2" s="6">
        <f>[1]Urban_Shares!N145</f>
        <v>0</v>
      </c>
      <c r="N2" s="6">
        <f>[1]Urban_Shares!O145</f>
        <v>0</v>
      </c>
      <c r="O2" s="6">
        <f>[1]Urban_Shares!O145</f>
        <v>0</v>
      </c>
      <c r="P2" s="6">
        <f>[1]Urban_Shares!P145</f>
        <v>0</v>
      </c>
      <c r="Q2" s="6">
        <f>[1]Urban_Shares!P145</f>
        <v>0</v>
      </c>
      <c r="R2" s="6">
        <f>[1]Urban_Shares!P145</f>
        <v>0</v>
      </c>
      <c r="S2" s="7">
        <f>[1]Urban_Shares!C145</f>
        <v>0.7</v>
      </c>
      <c r="T2" s="7">
        <f>[1]Urban_Shares!C145</f>
        <v>0.7</v>
      </c>
      <c r="U2" s="7">
        <f>[1]Urban_Shares!C145</f>
        <v>0.7</v>
      </c>
      <c r="V2" s="8">
        <f>[1]Urban_Shares!Q145</f>
        <v>0</v>
      </c>
      <c r="W2" s="6">
        <f>[1]Urban_Shares!R145</f>
        <v>0</v>
      </c>
      <c r="X2" s="6">
        <f>[1]Urban_Shares!S145</f>
        <v>0</v>
      </c>
      <c r="Y2" s="6">
        <f>[1]Urban_Shares!T145</f>
        <v>0</v>
      </c>
      <c r="Z2" s="9">
        <f>[1]Urban_Shares!U145</f>
        <v>0</v>
      </c>
      <c r="AA2" s="6">
        <f>[1]Urban_Shares!D145</f>
        <v>0</v>
      </c>
      <c r="AB2" s="6">
        <f>[1]Urban_Shares!V145</f>
        <v>0</v>
      </c>
      <c r="AC2" s="6">
        <f>[1]Urban_Shares!W145</f>
        <v>0</v>
      </c>
      <c r="AD2" s="6">
        <f>[1]Urban_Shares!X145</f>
        <v>0</v>
      </c>
      <c r="AE2" s="6">
        <f>[1]Urban_Shares!Y145</f>
        <v>0</v>
      </c>
      <c r="AF2" s="6">
        <f>[1]Urban_Shares!Z145</f>
        <v>0</v>
      </c>
      <c r="AG2" s="6">
        <f>[1]Urban_Shares!AA145</f>
        <v>0</v>
      </c>
      <c r="AH2" s="8">
        <f>[1]Urban_Shares!AB145</f>
        <v>0</v>
      </c>
      <c r="AI2" s="6">
        <f>[1]Urban_Shares!AC145</f>
        <v>0</v>
      </c>
      <c r="AJ2" s="6">
        <f>[1]Urban_Shares!AD145</f>
        <v>0</v>
      </c>
      <c r="AK2" s="6">
        <f>[1]Urban_Shares!AE145</f>
        <v>0</v>
      </c>
      <c r="AL2" s="6">
        <f>[1]Urban_Shares!AF145</f>
        <v>0</v>
      </c>
      <c r="AM2" s="6">
        <f>[1]Urban_Shares!AG145</f>
        <v>0</v>
      </c>
      <c r="AN2" s="6">
        <f>[1]Urban_Shares!AH145</f>
        <v>0</v>
      </c>
      <c r="AO2" s="6">
        <f>[1]Urban_Shares!AI145</f>
        <v>0</v>
      </c>
      <c r="AP2" s="6">
        <f>[1]Urban_Shares!AJ145</f>
        <v>0</v>
      </c>
      <c r="AQ2" s="6">
        <f>[1]Urban_Shares!AK145</f>
        <v>0</v>
      </c>
      <c r="AR2" s="9">
        <f>[1]Urban_Shares!AK145</f>
        <v>0</v>
      </c>
      <c r="AS2" s="6">
        <f>[1]Urban_Shares!AL145</f>
        <v>0</v>
      </c>
      <c r="AT2" s="6">
        <f>[1]Urban_Shares!AL145</f>
        <v>0</v>
      </c>
      <c r="AU2" s="6">
        <f>[1]Urban_Shares!AL145</f>
        <v>0</v>
      </c>
      <c r="AV2" s="6">
        <f>[1]Urban_Shares!AM145</f>
        <v>0</v>
      </c>
      <c r="AW2" s="8">
        <f>[1]Urban_Shares!AN145</f>
        <v>0</v>
      </c>
      <c r="AX2" s="6">
        <f>[1]Urban_Shares!AN145</f>
        <v>0</v>
      </c>
      <c r="AY2" s="6">
        <f>[1]Urban_Shares!AN145</f>
        <v>0</v>
      </c>
      <c r="AZ2" s="9">
        <f>[1]Urban_Shares!AO145</f>
        <v>0</v>
      </c>
      <c r="BA2" s="10">
        <f>[1]Urban_Shares!AP145</f>
        <v>0</v>
      </c>
      <c r="BB2" s="11">
        <f>[1]Urban_Shares!AP145</f>
        <v>0</v>
      </c>
      <c r="BC2" s="11">
        <f>[1]Urban_Shares!AP145</f>
        <v>0</v>
      </c>
      <c r="BD2" s="12">
        <f>[1]Urban_Shares!AQ145</f>
        <v>0</v>
      </c>
      <c r="BE2" s="6">
        <f>[1]Urban_Shares!AR145</f>
        <v>0</v>
      </c>
      <c r="BF2" s="6">
        <f>[1]Urban_Shares!AR145</f>
        <v>0</v>
      </c>
      <c r="BG2" s="6">
        <f>[1]Urban_Shares!AR145</f>
        <v>0</v>
      </c>
      <c r="BH2" s="6">
        <f>[1]Urban_Shares!AS145</f>
        <v>0</v>
      </c>
      <c r="BI2" s="8">
        <f>[1]Urban_Shares!AT145</f>
        <v>0</v>
      </c>
      <c r="BJ2" s="6">
        <f>[1]Urban_Shares!AT145</f>
        <v>0</v>
      </c>
      <c r="BK2" s="6">
        <f>[1]Urban_Shares!AT145</f>
        <v>0</v>
      </c>
      <c r="BL2" s="9">
        <f>[1]Urban_Shares!AU145</f>
        <v>0</v>
      </c>
      <c r="BM2" s="6">
        <f>[1]Urban_Shares!AV145</f>
        <v>0</v>
      </c>
      <c r="BN2" s="6">
        <f>[1]Urban_Shares!AV145</f>
        <v>0</v>
      </c>
      <c r="BO2" s="6">
        <f>[1]Urban_Shares!AV145</f>
        <v>0</v>
      </c>
      <c r="BP2" s="6">
        <f>[1]Urban_Shares!AW145</f>
        <v>0</v>
      </c>
      <c r="BQ2" s="8">
        <f>[1]Urban_Shares!AX145</f>
        <v>0</v>
      </c>
      <c r="BR2" s="6">
        <f>[1]Urban_Shares!AX145</f>
        <v>0</v>
      </c>
      <c r="BS2" s="6">
        <f>[1]Urban_Shares!AX145</f>
        <v>0</v>
      </c>
      <c r="BT2" s="9">
        <f>[1]Urban_Shares!AY145</f>
        <v>0</v>
      </c>
      <c r="BU2" s="6">
        <f>[1]Urban_Shares!AZ145</f>
        <v>0</v>
      </c>
      <c r="BV2" s="6">
        <f>[1]Urban_Shares!AZ145</f>
        <v>0</v>
      </c>
      <c r="BW2" s="6">
        <f>[1]Urban_Shares!AZ145</f>
        <v>0</v>
      </c>
      <c r="BX2" s="6">
        <f>[1]Urban_Shares!BA145</f>
        <v>0</v>
      </c>
      <c r="BY2" s="8">
        <f>[1]Urban_Shares!BB145</f>
        <v>0</v>
      </c>
      <c r="BZ2" s="6">
        <f>[1]Urban_Shares!BB145</f>
        <v>0</v>
      </c>
      <c r="CA2" s="6">
        <f>[1]Urban_Shares!BB145</f>
        <v>0</v>
      </c>
      <c r="CB2" s="9">
        <f>[1]Urban_Shares!BC145</f>
        <v>0</v>
      </c>
      <c r="CC2" s="6">
        <f>[1]Urban_Shares!BD145</f>
        <v>0</v>
      </c>
      <c r="CD2" s="6">
        <f>[1]Urban_Shares!BD145</f>
        <v>0</v>
      </c>
      <c r="CE2" s="6">
        <f>[1]Urban_Shares!BD145</f>
        <v>0</v>
      </c>
      <c r="CF2" s="6">
        <f>[1]Urban_Shares!BE145</f>
        <v>0</v>
      </c>
      <c r="CG2" s="6">
        <f>[1]Urban_Shares!BE145</f>
        <v>0</v>
      </c>
      <c r="CH2" s="8">
        <f>[1]Urban_Shares!BF145</f>
        <v>0</v>
      </c>
      <c r="CI2" s="6">
        <f>[1]Urban_Shares!BG145</f>
        <v>0</v>
      </c>
      <c r="CJ2" s="6">
        <f>[1]Urban_Shares!BH145</f>
        <v>0</v>
      </c>
      <c r="CK2" s="6">
        <f>[1]Urban_Shares!BI145</f>
        <v>0</v>
      </c>
      <c r="CL2" s="6">
        <f>[1]Urban_Shares!BJ145</f>
        <v>0</v>
      </c>
      <c r="CM2" s="9">
        <f>[1]Urban_Shares!BK145</f>
        <v>0</v>
      </c>
      <c r="CN2" s="6">
        <f>[1]Urban_Shares!BL145</f>
        <v>0</v>
      </c>
      <c r="CO2" s="6">
        <f>[1]Urban_Shares!BL145</f>
        <v>0</v>
      </c>
      <c r="CP2" s="6">
        <f>[1]Urban_Shares!BL145</f>
        <v>0</v>
      </c>
      <c r="CQ2" s="6">
        <f>[1]Urban_Shares!BM145</f>
        <v>0</v>
      </c>
      <c r="CR2" s="8">
        <f>[1]Urban_Shares!BN145</f>
        <v>0</v>
      </c>
      <c r="CS2" s="6">
        <f>[1]Urban_Shares!BN145</f>
        <v>0</v>
      </c>
      <c r="CT2" s="6">
        <f>[1]Urban_Shares!BN145</f>
        <v>0</v>
      </c>
      <c r="CU2" s="9">
        <f>[1]Urban_Shares!BO145</f>
        <v>0</v>
      </c>
      <c r="CV2" s="6">
        <f>[1]Urban_Shares!BP145</f>
        <v>0</v>
      </c>
      <c r="CW2" s="6">
        <f>[1]Urban_Shares!BP145</f>
        <v>0</v>
      </c>
      <c r="CX2" s="6">
        <f>[1]Urban_Shares!BP145</f>
        <v>0</v>
      </c>
      <c r="CY2" s="6">
        <f>[1]Urban_Shares!BQ145</f>
        <v>0</v>
      </c>
      <c r="CZ2" s="8">
        <f>[1]Urban_Shares!BR145</f>
        <v>0</v>
      </c>
      <c r="DA2" s="6">
        <f>[1]Urban_Shares!BR145</f>
        <v>0</v>
      </c>
      <c r="DB2" s="6">
        <f>[1]Urban_Shares!BR145</f>
        <v>0</v>
      </c>
      <c r="DC2" s="9">
        <f>[1]Urban_Shares!BS145</f>
        <v>0</v>
      </c>
      <c r="DD2" s="10">
        <f>[1]Urban_Shares!BT145</f>
        <v>0</v>
      </c>
      <c r="DE2" s="11">
        <f>[1]Urban_Shares!BT145</f>
        <v>0</v>
      </c>
      <c r="DF2" s="11">
        <f>[1]Urban_Shares!BT145</f>
        <v>0</v>
      </c>
      <c r="DG2" s="12">
        <f>[1]Urban_Shares!BU145</f>
        <v>0</v>
      </c>
      <c r="DH2" s="6">
        <f>[1]Urban_Shares!BV145</f>
        <v>0</v>
      </c>
      <c r="DI2" s="6">
        <f>[1]Urban_Shares!BV145</f>
        <v>0</v>
      </c>
      <c r="DJ2" s="6">
        <f>[1]Urban_Shares!BV145</f>
        <v>0</v>
      </c>
      <c r="DK2" s="6">
        <f>[1]Urban_Shares!BW145</f>
        <v>0</v>
      </c>
      <c r="DL2" s="8">
        <f>[1]Urban_Shares!BX145</f>
        <v>0</v>
      </c>
      <c r="DM2" s="6">
        <f>[1]Urban_Shares!BY145</f>
        <v>0</v>
      </c>
      <c r="DN2" s="6">
        <f>[1]Urban_Shares!BY145</f>
        <v>0</v>
      </c>
      <c r="DO2" s="6">
        <f>[1]Urban_Shares!BZ145</f>
        <v>0</v>
      </c>
      <c r="DP2" s="6">
        <f>[1]Urban_Shares!CA145</f>
        <v>0</v>
      </c>
      <c r="DQ2" s="6">
        <f>[1]Urban_Shares!CB145</f>
        <v>0</v>
      </c>
      <c r="DR2" s="6">
        <f>[1]Urban_Shares!CC145</f>
        <v>0</v>
      </c>
      <c r="DS2" s="6">
        <f>[1]Urban_Shares!CD145</f>
        <v>0</v>
      </c>
      <c r="DT2" s="6">
        <f>[1]Urban_Shares!CE145</f>
        <v>0</v>
      </c>
      <c r="DU2" s="6">
        <f>[1]Urban_Shares!CF145</f>
        <v>0</v>
      </c>
      <c r="DV2" s="6">
        <f>[1]Urban_Shares!CG145</f>
        <v>0</v>
      </c>
      <c r="DW2" s="9">
        <f>[1]Urban_Shares!CH145</f>
        <v>0</v>
      </c>
      <c r="DX2" s="6">
        <f>[1]Urban_Shares!CI145</f>
        <v>0</v>
      </c>
      <c r="DY2" s="6">
        <f>[1]Urban_Shares!CI145</f>
        <v>0</v>
      </c>
      <c r="DZ2" s="6">
        <f>[1]Urban_Shares!CI145</f>
        <v>0</v>
      </c>
      <c r="EA2" s="9">
        <f>[1]Urban_Shares!CJ145</f>
        <v>0</v>
      </c>
      <c r="EB2" s="9">
        <f>[1]Urban_Shares!CK145</f>
        <v>0</v>
      </c>
      <c r="EC2" s="6">
        <f>[1]Urban_Shares!CL145</f>
        <v>0</v>
      </c>
      <c r="ED2" s="9">
        <f>[1]Urban_Shares!CM145</f>
        <v>0</v>
      </c>
      <c r="EE2" s="13">
        <f>[1]Urban_Shares!CN145</f>
        <v>0</v>
      </c>
    </row>
    <row r="3" spans="1:135" x14ac:dyDescent="0.25">
      <c r="A3" s="14" t="s">
        <v>120</v>
      </c>
      <c r="B3" s="15">
        <f>IF([1]Inputs!$E$16=1,[1]Inputs!F1211,IF([1]Inputs!$E$16=2,[1]Inputs!G1211,[1]Inputs!H1211))</f>
        <v>0</v>
      </c>
      <c r="C3" s="15" t="e">
        <f t="shared" ref="C3:N3" si="0">$B3*#REF!</f>
        <v>#REF!</v>
      </c>
      <c r="D3" s="15" t="e">
        <f t="shared" ref="D3:O3" si="1">$B3*#REF!</f>
        <v>#REF!</v>
      </c>
      <c r="E3" s="15" t="e">
        <f t="shared" ref="E3:P3" si="2">$B3*#REF!</f>
        <v>#REF!</v>
      </c>
      <c r="F3" s="15" t="e">
        <f t="shared" ref="F3:Q3" si="3">$B3*#REF!</f>
        <v>#REF!</v>
      </c>
      <c r="G3" s="15" t="e">
        <f t="shared" ref="G3:R3" si="4">$B3*#REF!</f>
        <v>#REF!</v>
      </c>
      <c r="H3" s="15" t="e">
        <f t="shared" ref="H3:S3" si="5">$B3*#REF!</f>
        <v>#REF!</v>
      </c>
      <c r="I3" s="15" t="e">
        <f t="shared" ref="I3:T3" si="6">$B3*#REF!</f>
        <v>#REF!</v>
      </c>
      <c r="J3" s="15" t="e">
        <f t="shared" ref="J3:U3" si="7">$B3*#REF!</f>
        <v>#REF!</v>
      </c>
      <c r="K3" s="15" t="e">
        <f t="shared" ref="K3:V3" si="8">$B3*#REF!</f>
        <v>#REF!</v>
      </c>
      <c r="L3" s="15" t="e">
        <f t="shared" ref="L3:W3" si="9">$B3*#REF!</f>
        <v>#REF!</v>
      </c>
      <c r="M3" s="15" t="e">
        <f t="shared" ref="M3:X3" si="10">$B3*#REF!</f>
        <v>#REF!</v>
      </c>
      <c r="N3" s="15" t="e">
        <f t="shared" ref="N3:Y3" si="11">$B3*#REF!</f>
        <v>#REF!</v>
      </c>
      <c r="O3" s="15" t="e">
        <f t="shared" ref="O3:P3" si="12">$B3*#REF!</f>
        <v>#REF!</v>
      </c>
      <c r="P3" s="15" t="e">
        <f t="shared" ref="P3:Q3" si="13">$B3*#REF!</f>
        <v>#REF!</v>
      </c>
      <c r="Q3" s="15" t="e">
        <f>$B3*#REF!</f>
        <v>#REF!</v>
      </c>
      <c r="R3" s="15" t="e">
        <f>$B3*#REF!</f>
        <v>#REF!</v>
      </c>
      <c r="S3" s="15" t="e">
        <f>$B3*(1+#REF!)</f>
        <v>#REF!</v>
      </c>
      <c r="T3" s="15" t="e">
        <f>$B3*(1+#REF!)</f>
        <v>#REF!</v>
      </c>
      <c r="U3" s="15" t="e">
        <f>$B3*(1+#REF!)</f>
        <v>#REF!</v>
      </c>
      <c r="V3" s="16" t="e">
        <f t="shared" ref="V3:AG3" si="14">$B3*#REF!</f>
        <v>#REF!</v>
      </c>
      <c r="W3" s="15" t="e">
        <f t="shared" ref="W3:AH3" si="15">$B3*#REF!</f>
        <v>#REF!</v>
      </c>
      <c r="X3" s="15" t="e">
        <f t="shared" ref="X3:AI3" si="16">$B3*#REF!</f>
        <v>#REF!</v>
      </c>
      <c r="Y3" s="15" t="e">
        <f t="shared" ref="Y3:AJ3" si="17">$B3*#REF!</f>
        <v>#REF!</v>
      </c>
      <c r="Z3" s="17" t="e">
        <f t="shared" ref="Z3:AK3" si="18">$B3*#REF!</f>
        <v>#REF!</v>
      </c>
      <c r="AA3" s="15" t="e">
        <f t="shared" ref="AA3:AL3" si="19">$B3*#REF!</f>
        <v>#REF!</v>
      </c>
      <c r="AB3" s="15" t="e">
        <f t="shared" ref="AB3:AM3" si="20">$B3*#REF!</f>
        <v>#REF!</v>
      </c>
      <c r="AC3" s="15" t="e">
        <f t="shared" ref="AC3:AN3" si="21">$B3*#REF!</f>
        <v>#REF!</v>
      </c>
      <c r="AD3" s="15" t="e">
        <f t="shared" ref="AD3:AO3" si="22">$B3*#REF!</f>
        <v>#REF!</v>
      </c>
      <c r="AE3" s="15" t="e">
        <f t="shared" ref="AE3:AP3" si="23">$B3*#REF!</f>
        <v>#REF!</v>
      </c>
      <c r="AF3" s="15" t="e">
        <f t="shared" ref="AF3:AQ3" si="24">$B3*#REF!</f>
        <v>#REF!</v>
      </c>
      <c r="AG3" s="15" t="e">
        <f t="shared" ref="AG3:AR3" si="25">$B3*#REF!</f>
        <v>#REF!</v>
      </c>
      <c r="AH3" s="16" t="e">
        <f t="shared" ref="AH3:AQ3" si="26">$B3*#REF!</f>
        <v>#REF!</v>
      </c>
      <c r="AI3" s="15" t="e">
        <f t="shared" ref="AI3:AR3" si="27">$B3*#REF!</f>
        <v>#REF!</v>
      </c>
      <c r="AJ3" s="15" t="e">
        <f t="shared" ref="AJ3:AS3" si="28">$B3*#REF!</f>
        <v>#REF!</v>
      </c>
      <c r="AK3" s="15" t="e">
        <f t="shared" ref="AK3:AT3" si="29">$B3*#REF!</f>
        <v>#REF!</v>
      </c>
      <c r="AL3" s="15" t="e">
        <f t="shared" ref="AL3:AU3" si="30">$B3*#REF!</f>
        <v>#REF!</v>
      </c>
      <c r="AM3" s="15" t="e">
        <f t="shared" ref="AM3:AV3" si="31">$B3*#REF!</f>
        <v>#REF!</v>
      </c>
      <c r="AN3" s="15" t="e">
        <f t="shared" ref="AN3:AW3" si="32">$B3*#REF!</f>
        <v>#REF!</v>
      </c>
      <c r="AO3" s="15" t="e">
        <f t="shared" ref="AO3:AX3" si="33">$B3*#REF!</f>
        <v>#REF!</v>
      </c>
      <c r="AP3" s="15" t="e">
        <f t="shared" ref="AP3:AY3" si="34">$B3*#REF!</f>
        <v>#REF!</v>
      </c>
      <c r="AQ3" s="15" t="e">
        <f t="shared" ref="AQ3:AZ3" si="35">$B3*#REF!</f>
        <v>#REF!</v>
      </c>
      <c r="AR3" s="17" t="e">
        <f>$B3*#REF!</f>
        <v>#REF!</v>
      </c>
      <c r="AS3" s="15" t="e">
        <f ca="1">1/(1/AU3+1/AT3)</f>
        <v>#REF!</v>
      </c>
      <c r="AT3" s="15" t="e">
        <f ca="1">([1]Inputs!$E$96*[1]Fuel_Specs!#REF!+(1-[1]Inputs!$E$96)*[1]Fuel_Specs!#REF!)/AT4</f>
        <v>#REF!</v>
      </c>
      <c r="AU3" s="15" t="e">
        <f ca="1">([1]Inputs!$E$96*[1]Fuel_Specs!#REF!+(1-[1]Inputs!$E$96)*[1]Fuel_Specs!#REF!)/AU4</f>
        <v>#REF!</v>
      </c>
      <c r="AV3" s="15" t="e">
        <f>$B3*#REF!</f>
        <v>#REF!</v>
      </c>
      <c r="AW3" s="16" t="e">
        <f ca="1">1/(1/AY3+1/AX3)</f>
        <v>#REF!</v>
      </c>
      <c r="AX3" s="15" t="e">
        <f ca="1">([1]Inputs!$E$96*[1]Fuel_Specs!#REF!+(1-[1]Inputs!$E$96)*[1]Fuel_Specs!#REF!)/AX4</f>
        <v>#REF!</v>
      </c>
      <c r="AY3" s="15" t="e">
        <f ca="1">([1]Inputs!$E$96*[1]Fuel_Specs!#REF!+(1-[1]Inputs!$E$96)*[1]Fuel_Specs!#REF!)/AY4</f>
        <v>#REF!</v>
      </c>
      <c r="AZ3" s="17" t="e">
        <f>$B3*#REF!</f>
        <v>#REF!</v>
      </c>
      <c r="BA3" s="16" t="e">
        <f ca="1">1/(1/BC3+1/BB3)</f>
        <v>#REF!</v>
      </c>
      <c r="BB3" s="15" t="e">
        <f ca="1">([1]Inputs!$E$96*[1]Fuel_Specs!#REF!+(1-[1]Inputs!$E$96)*[1]Fuel_Specs!#REF!)/BB4</f>
        <v>#REF!</v>
      </c>
      <c r="BC3" s="15" t="e">
        <f ca="1">([1]Inputs!$E$96*[1]Fuel_Specs!#REF!+(1-[1]Inputs!$E$96)*[1]Fuel_Specs!#REF!)/BC4</f>
        <v>#REF!</v>
      </c>
      <c r="BD3" s="17" t="e">
        <f>$B3*#REF!</f>
        <v>#REF!</v>
      </c>
      <c r="BE3" s="15" t="e">
        <f>$B3*#REF!</f>
        <v>#REF!</v>
      </c>
      <c r="BF3" s="15" t="e">
        <f ca="1">([1]Inputs!$E$96*[1]Fuel_Specs!#REF!+(1-[1]Inputs!$E$96)*[1]Fuel_Specs!#REF!)/BF4</f>
        <v>#REF!</v>
      </c>
      <c r="BG3" s="15" t="e">
        <f ca="1">([1]Inputs!$E$96*[1]Fuel_Specs!#REF!+(1-[1]Inputs!$E$96)*[1]Fuel_Specs!#REF!)/BG4</f>
        <v>#REF!</v>
      </c>
      <c r="BH3" s="15" t="e">
        <f>$B3*#REF!</f>
        <v>#REF!</v>
      </c>
      <c r="BI3" s="16" t="e">
        <f>$B3*#REF!</f>
        <v>#REF!</v>
      </c>
      <c r="BJ3" s="15" t="e">
        <f ca="1">([1]Inputs!$E$96*[1]Fuel_Specs!#REF!+(1-[1]Inputs!$E$96)*[1]Fuel_Specs!#REF!)/BJ4</f>
        <v>#REF!</v>
      </c>
      <c r="BK3" s="15" t="e">
        <f ca="1">([1]Inputs!$E$96*[1]Fuel_Specs!#REF!+(1-[1]Inputs!$E$96)*[1]Fuel_Specs!#REF!)/BK4</f>
        <v>#REF!</v>
      </c>
      <c r="BL3" s="17" t="e">
        <f>$B3*#REF!</f>
        <v>#REF!</v>
      </c>
      <c r="BM3" s="15" t="e">
        <f>$B3*#REF!</f>
        <v>#REF!</v>
      </c>
      <c r="BN3" s="15" t="e">
        <f ca="1">([1]Inputs!$E$96*[1]Fuel_Specs!#REF!+(1-[1]Inputs!$E$96)*[1]Fuel_Specs!#REF!)/BN4</f>
        <v>#REF!</v>
      </c>
      <c r="BO3" s="15" t="e">
        <f ca="1">([1]Inputs!$E$96*[1]Fuel_Specs!#REF!+(1-[1]Inputs!$E$96)*[1]Fuel_Specs!#REF!)/BO4</f>
        <v>#REF!</v>
      </c>
      <c r="BP3" s="15" t="e">
        <f>$B3*#REF!</f>
        <v>#REF!</v>
      </c>
      <c r="BQ3" s="16" t="e">
        <f>$B3*#REF!</f>
        <v>#REF!</v>
      </c>
      <c r="BR3" s="15" t="e">
        <f ca="1">([1]Inputs!$E$96*[1]Fuel_Specs!#REF!+(1-[1]Inputs!$E$96)*[1]Fuel_Specs!#REF!)/BR4</f>
        <v>#REF!</v>
      </c>
      <c r="BS3" s="15" t="e">
        <f ca="1">([1]Inputs!$E$96*[1]Fuel_Specs!#REF!+(1-[1]Inputs!$E$96)*[1]Fuel_Specs!#REF!)/BS4</f>
        <v>#REF!</v>
      </c>
      <c r="BT3" s="17" t="e">
        <f>$B3*#REF!</f>
        <v>#REF!</v>
      </c>
      <c r="BU3" s="15" t="e">
        <f>$B3*#REF!</f>
        <v>#REF!</v>
      </c>
      <c r="BV3" s="15" t="e">
        <f ca="1">([1]Inputs!$E$96*[1]Fuel_Specs!#REF!+(1-[1]Inputs!$E$96)*[1]Fuel_Specs!#REF!)/BV4</f>
        <v>#REF!</v>
      </c>
      <c r="BW3" s="15" t="e">
        <f ca="1">([1]Inputs!$E$96*[1]Fuel_Specs!#REF!+(1-[1]Inputs!$E$96)*[1]Fuel_Specs!#REF!)/BW4</f>
        <v>#REF!</v>
      </c>
      <c r="BX3" s="15" t="e">
        <f>$B3*#REF!</f>
        <v>#REF!</v>
      </c>
      <c r="BY3" s="16" t="e">
        <f ca="1">1/(1/CA3+1/BZ3)</f>
        <v>#REF!</v>
      </c>
      <c r="BZ3" s="15" t="e">
        <f ca="1">([1]Inputs!$E$96*[1]Fuel_Specs!#REF!+(1-[1]Inputs!$E$96)*[1]Fuel_Specs!#REF!)/BZ4</f>
        <v>#REF!</v>
      </c>
      <c r="CA3" s="15" t="e">
        <f ca="1">([1]Inputs!$E$96*[1]Fuel_Specs!#REF!+(1-[1]Inputs!$E$96)*[1]Fuel_Specs!#REF!)/CA4</f>
        <v>#REF!</v>
      </c>
      <c r="CB3" s="17" t="e">
        <f>$B3*#REF!</f>
        <v>#REF!</v>
      </c>
      <c r="CC3" s="15" t="e">
        <f ca="1">1/(1/CE3+1/CD3)</f>
        <v>#REF!</v>
      </c>
      <c r="CD3" s="15" t="e">
        <f ca="1">([1]Inputs!$E$96*[1]Fuel_Specs!#REF!+(1-[1]Inputs!$E$96)*[1]Fuel_Specs!#REF!)/CD4</f>
        <v>#REF!</v>
      </c>
      <c r="CE3" s="15" t="e">
        <f ca="1">([1]Inputs!$E$96*[1]Fuel_Specs!#REF!+(1-[1]Inputs!$E$96)*[1]Fuel_Specs!#REF!)/CE4</f>
        <v>#REF!</v>
      </c>
      <c r="CF3" s="15" t="e">
        <f>$B3*#REF!</f>
        <v>#REF!</v>
      </c>
      <c r="CG3" s="15" t="e">
        <f t="shared" ref="CG3:CM3" si="36">$B3*#REF!</f>
        <v>#REF!</v>
      </c>
      <c r="CH3" s="16" t="e">
        <f t="shared" ref="CH3:CN3" si="37">$B3*#REF!</f>
        <v>#REF!</v>
      </c>
      <c r="CI3" s="15" t="e">
        <f t="shared" ref="CI3:CO3" si="38">$B3*#REF!</f>
        <v>#REF!</v>
      </c>
      <c r="CJ3" s="15" t="e">
        <f t="shared" ref="CJ3:CP3" si="39">$B3*#REF!</f>
        <v>#REF!</v>
      </c>
      <c r="CK3" s="15" t="e">
        <f t="shared" ref="CK3:CQ3" si="40">$B3*#REF!</f>
        <v>#REF!</v>
      </c>
      <c r="CL3" s="15" t="e">
        <f t="shared" ref="CL3:CR3" si="41">$B3*#REF!</f>
        <v>#REF!</v>
      </c>
      <c r="CM3" s="17" t="e">
        <f t="shared" ref="CM3:CS3" si="42">$B3*#REF!</f>
        <v>#REF!</v>
      </c>
      <c r="CN3" s="15" t="e">
        <f ca="1">1/(1/CP3+1/CO3)</f>
        <v>#REF!</v>
      </c>
      <c r="CO3" s="15" t="e">
        <f ca="1">([1]Inputs!$E$96*[1]Fuel_Specs!#REF!+(1-[1]Inputs!$E$96)*[1]Fuel_Specs!#REF!)/CO4</f>
        <v>#REF!</v>
      </c>
      <c r="CP3" s="15" t="e">
        <f ca="1">([1]Inputs!$E$96*[1]Fuel_Specs!#REF!+(1-[1]Inputs!$E$96)*[1]Fuel_Specs!#REF!)/CP4</f>
        <v>#REF!</v>
      </c>
      <c r="CQ3" s="15" t="e">
        <f>$B3*#REF!</f>
        <v>#REF!</v>
      </c>
      <c r="CR3" s="16" t="e">
        <f ca="1">1/(1/CT3+1/CS3)</f>
        <v>#REF!</v>
      </c>
      <c r="CS3" s="15" t="e">
        <f ca="1">([1]Inputs!$E$96*[1]Fuel_Specs!#REF!+(1-[1]Inputs!$E$96)*[1]Fuel_Specs!#REF!)/CS4</f>
        <v>#REF!</v>
      </c>
      <c r="CT3" s="15" t="e">
        <f ca="1">([1]Inputs!$E$96*[1]Fuel_Specs!#REF!+(1-[1]Inputs!$E$96)*[1]Fuel_Specs!#REF!)/CT4</f>
        <v>#REF!</v>
      </c>
      <c r="CU3" s="17" t="e">
        <f>$B3*#REF!</f>
        <v>#REF!</v>
      </c>
      <c r="CV3" s="15" t="e">
        <f ca="1">1/(1/CX3+1/CW3)</f>
        <v>#REF!</v>
      </c>
      <c r="CW3" s="15" t="e">
        <f ca="1">([1]Inputs!$E$96*[1]Fuel_Specs!#REF!+(1-[1]Inputs!$E$96)*[1]Fuel_Specs!#REF!)/CW4</f>
        <v>#REF!</v>
      </c>
      <c r="CX3" s="15" t="e">
        <f ca="1">([1]Inputs!$E$96*[1]Fuel_Specs!#REF!+(1-[1]Inputs!$E$96)*[1]Fuel_Specs!#REF!)/CX4</f>
        <v>#REF!</v>
      </c>
      <c r="CY3" s="15" t="e">
        <f>$B3*#REF!</f>
        <v>#REF!</v>
      </c>
      <c r="CZ3" s="16" t="e">
        <f ca="1">1/(1/DB3+1/DA3)</f>
        <v>#REF!</v>
      </c>
      <c r="DA3" s="15" t="e">
        <f ca="1">([1]Inputs!$E$96*[1]Fuel_Specs!#REF!+(1-[1]Inputs!$E$96)*[1]Fuel_Specs!#REF!)/DA4</f>
        <v>#REF!</v>
      </c>
      <c r="DB3" s="15" t="e">
        <f ca="1">([1]Inputs!$E$96*[1]Fuel_Specs!#REF!+(1-[1]Inputs!$E$96)*[1]Fuel_Specs!#REF!)/DB4</f>
        <v>#REF!</v>
      </c>
      <c r="DC3" s="17" t="e">
        <f>$B3*#REF!</f>
        <v>#REF!</v>
      </c>
      <c r="DD3" s="16" t="e">
        <f ca="1">1/(1/DF3+1/DE3)</f>
        <v>#REF!</v>
      </c>
      <c r="DE3" s="15" t="e">
        <f ca="1">([1]Inputs!$E$96*[1]Fuel_Specs!#REF!+(1-[1]Inputs!$E$96)*[1]Fuel_Specs!#REF!)/DE4</f>
        <v>#REF!</v>
      </c>
      <c r="DF3" s="15" t="e">
        <f ca="1">([1]Inputs!$E$96*[1]Fuel_Specs!#REF!+(1-[1]Inputs!$E$96)*[1]Fuel_Specs!#REF!)/DF4</f>
        <v>#REF!</v>
      </c>
      <c r="DG3" s="17" t="e">
        <f>$B3*#REF!</f>
        <v>#REF!</v>
      </c>
      <c r="DH3" s="15" t="e">
        <f ca="1">1/(1/DJ3+1/DI3)</f>
        <v>#REF!</v>
      </c>
      <c r="DI3" s="15" t="e">
        <f ca="1">([1]Inputs!$E$96*[1]Fuel_Specs!#REF!+(1-[1]Inputs!$E$96)*[1]Fuel_Specs!#REF!)/DI4</f>
        <v>#REF!</v>
      </c>
      <c r="DJ3" s="15" t="e">
        <f ca="1">([1]Inputs!$E$96*[1]Fuel_Specs!#REF!+(1-[1]Inputs!$E$96)*[1]Fuel_Specs!#REF!)/DJ4</f>
        <v>#REF!</v>
      </c>
      <c r="DK3" s="15" t="e">
        <f>$B3*#REF!</f>
        <v>#REF!</v>
      </c>
      <c r="DL3" s="16" t="e">
        <f>$B3*#REF!*Grid_ChargerEfficiency</f>
        <v>#REF!</v>
      </c>
      <c r="DM3" s="15" t="e">
        <f>$B3*#REF!</f>
        <v>#REF!</v>
      </c>
      <c r="DN3" s="15" t="e">
        <f t="shared" ref="DN3:DW3" si="43">$B3*#REF!</f>
        <v>#REF!</v>
      </c>
      <c r="DO3" s="15" t="e">
        <f t="shared" ref="DO3:DX3" si="44">$B3*#REF!</f>
        <v>#REF!</v>
      </c>
      <c r="DP3" s="15" t="e">
        <f t="shared" ref="DP3:DY3" si="45">$B3*#REF!</f>
        <v>#REF!</v>
      </c>
      <c r="DQ3" s="15" t="e">
        <f t="shared" ref="DQ3:DZ3" si="46">$B3*#REF!</f>
        <v>#REF!</v>
      </c>
      <c r="DR3" s="15" t="e">
        <f t="shared" ref="DR3:EA3" si="47">$B3*#REF!</f>
        <v>#REF!</v>
      </c>
      <c r="DS3" s="15" t="e">
        <f t="shared" ref="DS3:EB3" si="48">$B3*#REF!</f>
        <v>#REF!</v>
      </c>
      <c r="DT3" s="15" t="e">
        <f t="shared" ref="DT3:EC3" si="49">$B3*#REF!</f>
        <v>#REF!</v>
      </c>
      <c r="DU3" s="15" t="e">
        <f t="shared" ref="DU3:ED3" si="50">$B3*#REF!</f>
        <v>#REF!</v>
      </c>
      <c r="DV3" s="15" t="e">
        <f t="shared" ref="DV3:EE3" si="51">$B3*#REF!</f>
        <v>#REF!</v>
      </c>
      <c r="DW3" s="17" t="e">
        <f t="shared" ref="DW3:EE3" si="52">$B3*#REF!</f>
        <v>#REF!</v>
      </c>
      <c r="DX3" s="15" t="e">
        <f ca="1">1/(1/DZ3+1/DY3)</f>
        <v>#REF!</v>
      </c>
      <c r="DY3" s="15" t="e">
        <f ca="1">([1]Inputs!$E$96*[1]Fuel_Specs!#REF!+(1-[1]Inputs!$E$96)*[1]Fuel_Specs!#REF!)/DY4</f>
        <v>#REF!</v>
      </c>
      <c r="DZ3" s="18" t="e">
        <f ca="1">([1]Inputs!$E$96*[1]Fuel_Specs!#REF!+(1-[1]Inputs!$E$96)*[1]Fuel_Specs!#REF!)/DZ4</f>
        <v>#REF!</v>
      </c>
      <c r="EA3" s="17" t="e">
        <f>$B3*#REF!</f>
        <v>#REF!</v>
      </c>
      <c r="EB3" s="17" t="e">
        <f>$B3*#REF!</f>
        <v>#REF!</v>
      </c>
      <c r="EC3" s="15" t="e">
        <f>$B3*#REF!</f>
        <v>#REF!</v>
      </c>
      <c r="ED3" s="17" t="e">
        <f>$B3*#REF!</f>
        <v>#REF!</v>
      </c>
      <c r="EE3" s="19" t="e">
        <f>$B3*#REF!</f>
        <v>#REF!</v>
      </c>
    </row>
    <row r="4" spans="1:135" x14ac:dyDescent="0.25">
      <c r="A4" s="5" t="s">
        <v>121</v>
      </c>
      <c r="B4" s="20" t="e">
        <f>([1]Inputs!$E$96*[1]Fuel_Specs!#REF!+(1-[1]Inputs!$E$96)*[1]Fuel_Specs!#REF!)/B3</f>
        <v>#REF!</v>
      </c>
      <c r="C4" s="20" t="e">
        <f>([1]Inputs!$E$96*[1]Fuel_Specs!#REF!+(1-[1]Inputs!$E$96)*[1]Fuel_Specs!#REF!)/C3</f>
        <v>#REF!</v>
      </c>
      <c r="D4" s="20" t="e">
        <f>([1]Inputs!$E$96*[1]Fuel_Specs!#REF!+(1-[1]Inputs!$E$96)*[1]Fuel_Specs!#REF!)/D3</f>
        <v>#REF!</v>
      </c>
      <c r="E4" s="20" t="e">
        <f>([1]Inputs!$E$96*[1]Fuel_Specs!#REF!+(1-[1]Inputs!$E$96)*[1]Fuel_Specs!#REF!)/E3</f>
        <v>#REF!</v>
      </c>
      <c r="F4" s="20" t="e">
        <f>([1]Inputs!$E$96*[1]Fuel_Specs!#REF!+(1-[1]Inputs!$E$96)*[1]Fuel_Specs!#REF!)/F3</f>
        <v>#REF!</v>
      </c>
      <c r="G4" s="20" t="e">
        <f>([1]Inputs!$E$96*[1]Fuel_Specs!#REF!+(1-[1]Inputs!$E$96)*[1]Fuel_Specs!#REF!)/G3</f>
        <v>#REF!</v>
      </c>
      <c r="H4" s="20" t="e">
        <f>([1]Inputs!$E$96*[1]Fuel_Specs!#REF!+(1-[1]Inputs!$E$96)*[1]Fuel_Specs!#REF!)/H3</f>
        <v>#REF!</v>
      </c>
      <c r="I4" s="20" t="e">
        <f>([1]Inputs!$E$96*[1]Fuel_Specs!#REF!+(1-[1]Inputs!$E$96)*[1]Fuel_Specs!#REF!)/I3</f>
        <v>#REF!</v>
      </c>
      <c r="J4" s="20" t="e">
        <f>([1]Inputs!$E$96*[1]Fuel_Specs!#REF!+(1-[1]Inputs!$E$96)*[1]Fuel_Specs!#REF!)/J3</f>
        <v>#REF!</v>
      </c>
      <c r="K4" s="20" t="e">
        <f>([1]Inputs!$E$96*[1]Fuel_Specs!#REF!+(1-[1]Inputs!$E$96)*[1]Fuel_Specs!#REF!)/K3</f>
        <v>#REF!</v>
      </c>
      <c r="L4" s="20" t="e">
        <f>([1]Inputs!$E$96*[1]Fuel_Specs!#REF!+(1-[1]Inputs!$E$96)*[1]Fuel_Specs!#REF!)/L3</f>
        <v>#REF!</v>
      </c>
      <c r="M4" s="20" t="e">
        <f>([1]Inputs!$E$96*[1]Fuel_Specs!#REF!+(1-[1]Inputs!$E$96)*[1]Fuel_Specs!#REF!)/M3</f>
        <v>#REF!</v>
      </c>
      <c r="N4" s="20" t="e">
        <f>([1]Inputs!$E$96*[1]Fuel_Specs!#REF!+(1-[1]Inputs!$E$96)*[1]Fuel_Specs!#REF!)/N3</f>
        <v>#REF!</v>
      </c>
      <c r="O4" s="20" t="e">
        <f>([1]Inputs!$E$96*[1]Fuel_Specs!#REF!+(1-[1]Inputs!$E$96)*[1]Fuel_Specs!#REF!)/O3</f>
        <v>#REF!</v>
      </c>
      <c r="P4" s="20" t="e">
        <f>([1]Inputs!$E$96*[1]Fuel_Specs!#REF!+(1-[1]Inputs!$E$96)*[1]Fuel_Specs!#REF!)/P3</f>
        <v>#REF!</v>
      </c>
      <c r="Q4" s="20" t="e">
        <f>([1]Inputs!$E$96*[1]Fuel_Specs!#REF!+(1-[1]Inputs!$E$96)*[1]Fuel_Specs!#REF!)/Q3</f>
        <v>#REF!</v>
      </c>
      <c r="R4" s="20" t="e">
        <f>([1]Inputs!$E$96*[1]Fuel_Specs!#REF!+(1-[1]Inputs!$E$96)*[1]Fuel_Specs!#REF!)/R3</f>
        <v>#REF!</v>
      </c>
      <c r="S4" s="20" t="e">
        <f>([1]Inputs!$E$96*[1]Fuel_Specs!#REF!+(1-[1]Inputs!$E$96)*[1]Fuel_Specs!#REF!)/S3</f>
        <v>#REF!</v>
      </c>
      <c r="T4" s="20" t="e">
        <f>([1]Inputs!$E$96*[1]Fuel_Specs!#REF!+(1-[1]Inputs!$E$96)*[1]Fuel_Specs!#REF!)/T3</f>
        <v>#REF!</v>
      </c>
      <c r="U4" s="20" t="e">
        <f>([1]Inputs!$E$96*[1]Fuel_Specs!#REF!+(1-[1]Inputs!$E$96)*[1]Fuel_Specs!#REF!)/U3</f>
        <v>#REF!</v>
      </c>
      <c r="V4" s="21" t="e">
        <f>([1]Inputs!$E$96*[1]Fuel_Specs!#REF!+(1-[1]Inputs!$E$96)*[1]Fuel_Specs!#REF!)/V3</f>
        <v>#REF!</v>
      </c>
      <c r="W4" s="20" t="e">
        <f>([1]Inputs!$E$96*[1]Fuel_Specs!#REF!+(1-[1]Inputs!$E$96)*[1]Fuel_Specs!#REF!)/W3</f>
        <v>#REF!</v>
      </c>
      <c r="X4" s="20" t="e">
        <f>([1]Inputs!$E$96*[1]Fuel_Specs!#REF!+(1-[1]Inputs!$E$96)*[1]Fuel_Specs!#REF!)/X3</f>
        <v>#REF!</v>
      </c>
      <c r="Y4" s="20" t="e">
        <f>([1]Inputs!$E$96*[1]Fuel_Specs!#REF!+(1-[1]Inputs!$E$96)*[1]Fuel_Specs!#REF!)/Y3</f>
        <v>#REF!</v>
      </c>
      <c r="Z4" s="22" t="e">
        <f>([1]Inputs!$E$96*[1]Fuel_Specs!#REF!+(1-[1]Inputs!$E$96)*[1]Fuel_Specs!#REF!)/Z3</f>
        <v>#REF!</v>
      </c>
      <c r="AA4" s="20" t="e">
        <f>([1]Inputs!$E$96*[1]Fuel_Specs!#REF!+(1-[1]Inputs!$E$96)*[1]Fuel_Specs!#REF!)/AA3</f>
        <v>#REF!</v>
      </c>
      <c r="AB4" s="20" t="e">
        <f>([1]Inputs!$E$96*[1]Fuel_Specs!#REF!+(1-[1]Inputs!$E$96)*[1]Fuel_Specs!#REF!)/AB3</f>
        <v>#REF!</v>
      </c>
      <c r="AC4" s="20" t="e">
        <f>([1]Inputs!$E$96*[1]Fuel_Specs!#REF!+(1-[1]Inputs!$E$96)*[1]Fuel_Specs!#REF!)/AC3</f>
        <v>#REF!</v>
      </c>
      <c r="AD4" s="20" t="e">
        <f>([1]Inputs!$E$96*[1]Fuel_Specs!#REF!+(1-[1]Inputs!$E$96)*[1]Fuel_Specs!#REF!)/AD3</f>
        <v>#REF!</v>
      </c>
      <c r="AE4" s="20" t="e">
        <f>([1]Inputs!$E$96*[1]Fuel_Specs!#REF!+(1-[1]Inputs!$E$96)*[1]Fuel_Specs!#REF!)/AE3</f>
        <v>#REF!</v>
      </c>
      <c r="AF4" s="20" t="e">
        <f>([1]Inputs!$E$96*[1]Fuel_Specs!#REF!+(1-[1]Inputs!$E$96)*[1]Fuel_Specs!#REF!)/AF3</f>
        <v>#REF!</v>
      </c>
      <c r="AG4" s="20" t="e">
        <f>([1]Inputs!$E$96*[1]Fuel_Specs!#REF!+(1-[1]Inputs!$E$96)*[1]Fuel_Specs!#REF!)/AG3</f>
        <v>#REF!</v>
      </c>
      <c r="AH4" s="21" t="e">
        <f>([1]Inputs!$E$96*[1]Fuel_Specs!#REF!+(1-[1]Inputs!$E$96)*[1]Fuel_Specs!#REF!)/AH3</f>
        <v>#REF!</v>
      </c>
      <c r="AI4" s="20" t="e">
        <f>([1]Inputs!$E$96*[1]Fuel_Specs!#REF!+(1-[1]Inputs!$E$96)*[1]Fuel_Specs!#REF!)/AI3</f>
        <v>#REF!</v>
      </c>
      <c r="AJ4" s="20" t="e">
        <f>([1]Inputs!$E$96*[1]Fuel_Specs!#REF!+(1-[1]Inputs!$E$96)*[1]Fuel_Specs!#REF!)/AJ3</f>
        <v>#REF!</v>
      </c>
      <c r="AK4" s="20" t="e">
        <f>([1]Inputs!$E$96*[1]Fuel_Specs!#REF!+(1-[1]Inputs!$E$96)*[1]Fuel_Specs!#REF!)/AK3</f>
        <v>#REF!</v>
      </c>
      <c r="AL4" s="20" t="e">
        <f>([1]Inputs!$E$96*[1]Fuel_Specs!#REF!+(1-[1]Inputs!$E$96)*[1]Fuel_Specs!#REF!)/AL3</f>
        <v>#REF!</v>
      </c>
      <c r="AM4" s="20" t="e">
        <f>([1]Inputs!$E$96*[1]Fuel_Specs!#REF!+(1-[1]Inputs!$E$96)*[1]Fuel_Specs!#REF!)/AM3</f>
        <v>#REF!</v>
      </c>
      <c r="AN4" s="20" t="e">
        <f>([1]Inputs!$E$96*[1]Fuel_Specs!#REF!+(1-[1]Inputs!$E$96)*[1]Fuel_Specs!#REF!)/AN3</f>
        <v>#REF!</v>
      </c>
      <c r="AO4" s="20" t="e">
        <f>([1]Inputs!$E$96*[1]Fuel_Specs!#REF!+(1-[1]Inputs!$E$96)*[1]Fuel_Specs!#REF!)/AO3</f>
        <v>#REF!</v>
      </c>
      <c r="AP4" s="20" t="e">
        <f>([1]Inputs!$E$96*[1]Fuel_Specs!#REF!+(1-[1]Inputs!$E$96)*[1]Fuel_Specs!#REF!)/AP3</f>
        <v>#REF!</v>
      </c>
      <c r="AQ4" s="20" t="e">
        <f>([1]Inputs!$E$96*[1]Fuel_Specs!#REF!+(1-[1]Inputs!$E$96)*[1]Fuel_Specs!#REF!)/AQ3</f>
        <v>#REF!</v>
      </c>
      <c r="AR4" s="22" t="e">
        <f>([1]Inputs!$E$96*[1]Fuel_Specs!#REF!+(1-[1]Inputs!$E$96)*[1]Fuel_Specs!#REF!)/AR3</f>
        <v>#REF!</v>
      </c>
      <c r="AS4" s="20">
        <f ca="1">AU4+AT4</f>
        <v>1026.658596409532</v>
      </c>
      <c r="AT4" s="20">
        <f ca="1">INDEX(IF(Veh_Type_Option=1,Vehicles_GCHEV_GridOperation_CGnFRFG_Car_EC,IF(Veh_Type_Option=2,Vehicles_GCHEV_GridOperation_CGnFRFG_LDT1_EC,Vehicles_GCHEV_GridOperation_CGnFRFG_LDT2_EC)),MATCH(Grid_AER,Grid_VMT_AER))*Wh2BTU/Grid_ChargerEfficiency</f>
        <v>1024.1607725302595</v>
      </c>
      <c r="AU4" s="20">
        <f ca="1">INDEX(IF(Veh_Type_Option=1,Vehicles_GCHEV_GridOperation_CGnFRFG_Car_FE,IF(Veh_Type_Option=2,Vehicles_GCHEV_GridOperation_CGnFRFG_LDT1_FE,Vehicles_GCHEV_GridOperation_CGnFRFG_LDT2_FE)),MATCH(Grid_AER,Grid_VMT_AER))</f>
        <v>2.4978238792726519</v>
      </c>
      <c r="AV4" s="20" t="e">
        <f>([1]Inputs!$E$96*[1]Fuel_Specs!#REF!+(1-[1]Inputs!$E$96)*[1]Fuel_Specs!#REF!)/AV3</f>
        <v>#REF!</v>
      </c>
      <c r="AW4" s="21">
        <f ca="1">AY4+AX4</f>
        <v>1026.658596409532</v>
      </c>
      <c r="AX4" s="20">
        <f ca="1">INDEX(IF(Veh_Type_Option=1,Vehicles_GCHEV_GridOperation_CARFG_Car_EC,IF(Veh_Type_Option=2,Vehicles_GCHEV_GridOperation_CARFG_LDT1_EC,Vehicles_GCHEV_GridOperation_CARFG_LDT2_EC)),MATCH(Grid_AER,Grid_VMT_AER))*Wh2BTU/Grid_ChargerEfficiency</f>
        <v>1024.1607725302595</v>
      </c>
      <c r="AY4" s="20">
        <f ca="1">INDEX(IF(Veh_Type_Option=1,Vehicles_GCHEV_GridOperation_CARFG_Car_FE,IF(Veh_Type_Option=2,Vehicles_GCHEV_GridOperation_CARFG_LDT1_FE,Vehicles_GCHEV_GridOperation_CARFG_LDT2_FE)),MATCH(Grid_AER,Grid_VMT_AER))</f>
        <v>2.4978238792726519</v>
      </c>
      <c r="AZ4" s="22" t="e">
        <f>([1]Inputs!$E$96*[1]Fuel_Specs!#REF!+(1-[1]Inputs!$E$96)*[1]Fuel_Specs!#REF!)/AZ3</f>
        <v>#REF!</v>
      </c>
      <c r="BA4" s="21">
        <f ca="1">BC4+BB4</f>
        <v>1026.658596409532</v>
      </c>
      <c r="BB4" s="20">
        <f ca="1">INDEX(IF(Veh_Type_Option=1,Vehicles_GCHEV_GridOperation_RG_Car_EC,IF(Veh_Type_Option=2,Vehicles_GCHEV_GridOperation_RG_LDT1_EC,Vehicles_GCHEV_GridOperation_RG_LDT2_EC)),MATCH(Grid_AER,Grid_VMT_AER))*Wh2BTU/Grid_ChargerEfficiency</f>
        <v>1024.1607725302595</v>
      </c>
      <c r="BC4" s="20">
        <f ca="1">INDEX(IF(Veh_Type_Option=1,Vehicles_GCHEV_GridOperation_RG_Car_FE,IF(Veh_Type_Option=2,Vehicles_GCHEV_GridOperation_RG_LDT1_FE,Vehicles_GCHEV_GridOperation_RG_LDT2_FE)),MATCH(Grid_AER,Grid_VMT_AER))</f>
        <v>2.4978238792726519</v>
      </c>
      <c r="BD4" s="22" t="e">
        <f>([1]Inputs!$E$96*[1]Fuel_Specs!#REF!+(1-[1]Inputs!$E$96)*[1]Fuel_Specs!#REF!)/BD3</f>
        <v>#REF!</v>
      </c>
      <c r="BE4" s="20" t="e">
        <f>([1]Inputs!$E$96*[1]Fuel_Specs!#REF!+(1-[1]Inputs!$E$96)*[1]Fuel_Specs!#REF!)/BE3</f>
        <v>#REF!</v>
      </c>
      <c r="BF4" s="20">
        <f ca="1">INDEX(IF(Veh_Type_Option=1,Vehicles_GCHEV_GridOperation_EtOH_LLBlend_Car_EC,IF(Veh_Type_Option=2,Vehicles_GCHEV_GridOperation_EtOH_LLBlend_LDT1_EC,Vehicles_GCHEV_GridOperation_EtOH_LLBlend_LDT2_EC)),MATCH(Grid_AER,Grid_VMT_AER))*Wh2BTU/Grid_ChargerEfficiency</f>
        <v>1024.1607725302595</v>
      </c>
      <c r="BG4" s="20">
        <f ca="1">INDEX(IF(Veh_Type_Option=1,Vehicles_GCHEV_GridOperation_EtOH_LLBlend_Car_FE,IF(Veh_Type_Option=2,Vehicles_GCHEV_GridOperation_EtOH_LLBlend_LDT1_FE,Vehicles_GCHEV_GridOperation_EtOH_LLBlend_LDT2_FE)),MATCH(Grid_AER,Grid_VMT_AER))</f>
        <v>2.4978238792726519</v>
      </c>
      <c r="BH4" s="20" t="e">
        <f>([1]Inputs!$E$96*[1]Fuel_Specs!#REF!+(1-[1]Inputs!$E$96)*[1]Fuel_Specs!#REF!)/BH3</f>
        <v>#REF!</v>
      </c>
      <c r="BI4" s="21" t="e">
        <f>([1]Inputs!$E$96*[1]Fuel_Specs!#REF!+(1-[1]Inputs!$E$96)*[1]Fuel_Specs!#REF!)/BI3</f>
        <v>#REF!</v>
      </c>
      <c r="BJ4" s="20">
        <f ca="1">INDEX(IF(Veh_Type_Option=1,Vehicles_GCHEV_GridOperation_CNG_Car_EC,IF(Veh_Type_Option=2,Vehicles_GCHEV_GridOperation_CNG_LDT1_EC,Vehicles_GCHEV_GridOperation_CNG_LDT2_EC)),MATCH(Grid_AER,Grid_VMT_AER))*Wh2BTU/Grid_ChargerEfficiency</f>
        <v>1024.1607725302595</v>
      </c>
      <c r="BK4" s="20">
        <f ca="1">INDEX(IF(Veh_Type_Option=1,Vehicles_GCHEV_GridOperation_CNG_Car_FE,IF(Veh_Type_Option=2,Vehicles_GCHEV_GridOperation_CNG_LDT1_FE,Vehicles_GCHEV_GridOperation_CNG_LDT2_FE)),MATCH(Grid_AER,Grid_VMT_AER))</f>
        <v>2.4978238792726519</v>
      </c>
      <c r="BL4" s="22" t="e">
        <f>([1]Inputs!$E$96*[1]Fuel_Specs!#REF!+(1-[1]Inputs!$E$96)*[1]Fuel_Specs!#REF!)/BL3</f>
        <v>#REF!</v>
      </c>
      <c r="BM4" s="20" t="e">
        <f>([1]Inputs!$E$96*[1]Fuel_Specs!#REF!+(1-[1]Inputs!$E$96)*[1]Fuel_Specs!#REF!)/BM3</f>
        <v>#REF!</v>
      </c>
      <c r="BN4" s="20">
        <f ca="1">INDEX(IF(Veh_Type_Option=1,Vehicles_GCHEV_GridOperation_LNG_Car_EC,IF(Veh_Type_Option=2,Vehicles_GCHEV_GridOperation_LNG_LDT1_EC,Vehicles_GCHEV_GridOperation_LNG_LDT2_EC)),MATCH(Grid_AER,Grid_VMT_AER))*Wh2BTU/Grid_ChargerEfficiency</f>
        <v>1024.1607725302595</v>
      </c>
      <c r="BO4" s="20">
        <f ca="1">INDEX(IF(Veh_Type_Option=1,Vehicles_GCHEV_GridOperation_LNG_Car_FE,IF(Veh_Type_Option=2,Vehicles_GCHEV_GridOperation_LNG_LDT1_FE,Vehicles_GCHEV_GridOperation_LNG_LDT2_FE)),MATCH(Grid_AER,Grid_VMT_AER))</f>
        <v>2.4978238792726519</v>
      </c>
      <c r="BP4" s="20" t="e">
        <f>([1]Inputs!$E$96*[1]Fuel_Specs!#REF!+(1-[1]Inputs!$E$96)*[1]Fuel_Specs!#REF!)/BP3</f>
        <v>#REF!</v>
      </c>
      <c r="BQ4" s="21" t="e">
        <f>([1]Inputs!$E$96*[1]Fuel_Specs!#REF!+(1-[1]Inputs!$E$96)*[1]Fuel_Specs!#REF!)/BQ3</f>
        <v>#REF!</v>
      </c>
      <c r="BR4" s="20">
        <f ca="1">INDEX(IF(Veh_Type_Option=1,Vehicles_GCHEV_GridOperation_LPG_Car_EC,IF(Veh_Type_Option=2,Vehicles_GCHEV_GridOperation_LPG_LDT1_EC,Vehicles_GCHEV_GridOperation_LPG_LDT2_EC)),MATCH(Grid_AER,Grid_VMT_AER))*Wh2BTU/Grid_ChargerEfficiency</f>
        <v>1024.1607725302595</v>
      </c>
      <c r="BS4" s="20">
        <f ca="1">INDEX(IF(Veh_Type_Option=1,Vehicles_GCHEV_GridOperation_LPG_Car_FE,IF(Veh_Type_Option=2,Vehicles_GCHEV_GridOperation_LPG_LDT1_FE,Vehicles_GCHEV_GridOperation_LPG_LDT2_FE)),MATCH(Grid_AER,Grid_VMT_AER))</f>
        <v>2.4978238792726519</v>
      </c>
      <c r="BT4" s="22" t="e">
        <f>([1]Inputs!$E$96*[1]Fuel_Specs!#REF!+(1-[1]Inputs!$E$96)*[1]Fuel_Specs!#REF!)/BT3</f>
        <v>#REF!</v>
      </c>
      <c r="BU4" s="20" t="e">
        <f>([1]Inputs!$E$96*[1]Fuel_Specs!#REF!+(1-[1]Inputs!$E$96)*[1]Fuel_Specs!#REF!)/BU3</f>
        <v>#REF!</v>
      </c>
      <c r="BV4" s="20">
        <f ca="1">INDEX(IF(Veh_Type_Option=1,Vehicles_GCHEV_GridOperation_MeOH_Car_EC,IF(Veh_Type_Option=2,Vehicles_GCHEV_GridOperation_MeOH_LDT1_EC,Vehicles_GCHEV_GridOperation_MeOH_LDT2_EC)),MATCH(Grid_AER,Grid_VMT_AER))*Wh2BTU/Grid_ChargerEfficiency</f>
        <v>1024.1607725302595</v>
      </c>
      <c r="BW4" s="20">
        <f ca="1">INDEX(IF(Veh_Type_Option=1,Vehicles_GCHEV_GridOperation_MeOH_Car_FE,IF(Veh_Type_Option=2,Vehicles_GCHEV_GridOperation_MeOH_LDT1_FE,Vehicles_GCHEV_GridOperation_MeOH_LDT2_FE)),MATCH(Grid_AER,Grid_VMT_AER))</f>
        <v>2.4978238792726519</v>
      </c>
      <c r="BX4" s="20" t="e">
        <f>([1]Inputs!$E$96*[1]Fuel_Specs!#REF!+(1-[1]Inputs!$E$96)*[1]Fuel_Specs!#REF!)/BX3</f>
        <v>#REF!</v>
      </c>
      <c r="BY4" s="21">
        <f ca="1">CA4+BZ4</f>
        <v>1026.658596409532</v>
      </c>
      <c r="BZ4" s="20">
        <f ca="1">INDEX(IF(Veh_Type_Option=1,Vehicles_GCHEV_GridOperation_EtOH_Car_EC,IF(Veh_Type_Option=2,Vehicles_GCHEV_GridOperation_EtOH_LDT1_EC,Vehicles_GCHEV_GridOperation_EtOH_LDT2_EC)),MATCH(Grid_AER,Grid_VMT_AER))*Wh2BTU/Grid_ChargerEfficiency</f>
        <v>1024.1607725302595</v>
      </c>
      <c r="CA4" s="20">
        <f ca="1">INDEX(IF(Veh_Type_Option=1,Vehicles_GCHEV_GridOperation_EtOH_Car_FE,IF(Veh_Type_Option=2,Vehicles_GCHEV_GridOperation_EtOH_LDT1_FE,Vehicles_GCHEV_GridOperation_EtOH_LDT2_FE)),MATCH(Grid_AER,Grid_VMT_AER))</f>
        <v>2.4978238792726519</v>
      </c>
      <c r="CB4" s="22" t="e">
        <f>([1]Inputs!$E$96*[1]Fuel_Specs!#REF!+(1-[1]Inputs!$E$96)*[1]Fuel_Specs!#REF!)/CB3</f>
        <v>#REF!</v>
      </c>
      <c r="CC4" s="20">
        <f ca="1">CE4+CD4</f>
        <v>1026.658596409532</v>
      </c>
      <c r="CD4" s="20">
        <f ca="1">INDEX(IF(Veh_Type_Option=1,Vehicles_GCHEV_GridOperation_Hydrogen_Car_EC,IF(Veh_Type_Option=2,Vehicles_GCHEV_GridOperation_Hydrogen_LDT1_EC,Vehicles_GCHEV_GridOperation_Hydrogen_LDT2_EC)),MATCH(Grid_AER,Grid_VMT_AER))*Wh2BTU/Grid_ChargerEfficiency</f>
        <v>1024.1607725302595</v>
      </c>
      <c r="CE4" s="20">
        <f ca="1">INDEX(IF(Veh_Type_Option=1,Vehicles_GCHEV_GridOperation_Hydrogen_Car_FE,IF(Veh_Type_Option=2,Vehicles_GCHEV_GridOperation_Hydrogen_LDT1_FE,Vehicles_GCHEV_GridOperation_Hydrogen_LDT2_FE)),MATCH(Grid_AER,Grid_VMT_AER))</f>
        <v>2.4978238792726519</v>
      </c>
      <c r="CF4" s="20" t="e">
        <f>([1]Inputs!$E$96*[1]Fuel_Specs!#REF!+(1-[1]Inputs!$E$96)*[1]Fuel_Specs!#REF!)/CF3</f>
        <v>#REF!</v>
      </c>
      <c r="CG4" s="20" t="e">
        <f>([1]Inputs!$E$96*[1]Fuel_Specs!#REF!+(1-[1]Inputs!$E$96)*[1]Fuel_Specs!#REF!)/CG3</f>
        <v>#REF!</v>
      </c>
      <c r="CH4" s="21" t="e">
        <f>([1]Inputs!$E$96*[1]Fuel_Specs!#REF!+(1-[1]Inputs!$E$96)*[1]Fuel_Specs!#REF!)/CH3</f>
        <v>#REF!</v>
      </c>
      <c r="CI4" s="20" t="e">
        <f>([1]Inputs!$E$96*[1]Fuel_Specs!#REF!+(1-[1]Inputs!$E$96)*[1]Fuel_Specs!#REF!)/CI3</f>
        <v>#REF!</v>
      </c>
      <c r="CJ4" s="20" t="e">
        <f>([1]Inputs!$E$96*[1]Fuel_Specs!#REF!+(1-[1]Inputs!$E$96)*[1]Fuel_Specs!#REF!)/CJ3</f>
        <v>#REF!</v>
      </c>
      <c r="CK4" s="20" t="e">
        <f>([1]Inputs!$E$96*[1]Fuel_Specs!#REF!+(1-[1]Inputs!$E$96)*[1]Fuel_Specs!#REF!)/CK3</f>
        <v>#REF!</v>
      </c>
      <c r="CL4" s="20" t="e">
        <f>([1]Inputs!$E$96*[1]Fuel_Specs!#REF!+(1-[1]Inputs!$E$96)*[1]Fuel_Specs!#REF!)/CL3</f>
        <v>#REF!</v>
      </c>
      <c r="CM4" s="22" t="e">
        <f>([1]Inputs!$E$96*[1]Fuel_Specs!#REF!+(1-[1]Inputs!$E$96)*[1]Fuel_Specs!#REF!)/CM3</f>
        <v>#REF!</v>
      </c>
      <c r="CN4" s="20">
        <f ca="1">CP4+CO4</f>
        <v>1210.7961842492743</v>
      </c>
      <c r="CO4" s="20">
        <f ca="1">INDEX(IF(Veh_Type_Option=1,Vehicles_GCHEV_GridOperation_CDnLSD_Car_EC,IF(Veh_Type_Option=2,Vehicles_GCHEV_GridOperation_CDnLSD_LDT1_EC,Vehicles_GCHEV_GridOperation_CDnLSD_LDT2_EC)),MATCH(Grid_AER,Grid_VMT_AER))*Wh2BTU/Grid_ChargerEfficiency</f>
        <v>1208.2760573187438</v>
      </c>
      <c r="CP4" s="20">
        <f ca="1">INDEX(IF(Veh_Type_Option=1,Vehicles_GCHEV_GridOperation_CDnLSD_Car_FE,IF(Veh_Type_Option=2,Vehicles_GCHEV_GridOperation_CDnLSD_LDT1_FE,Vehicles_GCHEV_GridOperation_CDnLSD_LDT2_FE)),MATCH(Grid_AER,Grid_VMT_AER))</f>
        <v>2.5201269305306275</v>
      </c>
      <c r="CQ4" s="20" t="e">
        <f>([1]Inputs!$E$96*[1]Fuel_Specs!#REF!+(1-[1]Inputs!$E$96)*[1]Fuel_Specs!#REF!)/CQ3</f>
        <v>#REF!</v>
      </c>
      <c r="CR4" s="21">
        <f t="shared" ref="CR4:CR24" ca="1" si="53">CT4+CS4</f>
        <v>1210.7961842492743</v>
      </c>
      <c r="CS4" s="20">
        <f ca="1">INDEX(IF(Veh_Type_Option=1,Vehicles_GCHEV_GridOperation_DME_Car_EC,IF(Veh_Type_Option=2,Vehicles_GCHEV_GridOperation_DME_LDT1_EC,Vehicles_GCHEV_GridOperation_DME_LDT2_EC)),MATCH(Grid_AER,Grid_VMT_AER))*Wh2BTU/Grid_ChargerEfficiency</f>
        <v>1208.2760573187438</v>
      </c>
      <c r="CT4" s="20">
        <f ca="1">INDEX(IF(Veh_Type_Option=1,Vehicles_GCHEV_GridOperation_DME_Car_FE,IF(Veh_Type_Option=2,Vehicles_GCHEV_GridOperation_DME_LDT1_FE,Vehicles_GCHEV_GridOperation_DME_LDT2_FE)),MATCH(Grid_AER,Grid_VMT_AER))</f>
        <v>2.5201269305306275</v>
      </c>
      <c r="CU4" s="22" t="e">
        <f>([1]Inputs!$E$96*[1]Fuel_Specs!#REF!+(1-[1]Inputs!$E$96)*[1]Fuel_Specs!#REF!)/CU3</f>
        <v>#REF!</v>
      </c>
      <c r="CV4" s="20">
        <f t="shared" ref="CV4:CV24" ca="1" si="54">CX4+CW4</f>
        <v>1210.7961842492743</v>
      </c>
      <c r="CW4" s="20">
        <f ca="1">INDEX(IF(Veh_Type_Option=1,Vehicles_GCHEV_GridOperation_FTD_Car_EC,IF(Veh_Type_Option=2,Vehicles_GCHEV_GridOperation_FTD_LDT1_EC,Vehicles_GCHEV_GridOperation_FTD_LDT2_EC)),MATCH(Grid_AER,Grid_VMT_AER))*Wh2BTU/Grid_ChargerEfficiency</f>
        <v>1208.2760573187438</v>
      </c>
      <c r="CX4" s="20">
        <f ca="1">INDEX(IF(Veh_Type_Option=1,Vehicles_GCHEV_GridOperation_FTD_Car_FE,IF(Veh_Type_Option=2,Vehicles_GCHEV_GridOperation_FTD_LDT1_FE,Vehicles_GCHEV_GridOperation_FTD_LDT2_FE)),MATCH(Grid_AER,Grid_VMT_AER))</f>
        <v>2.5201269305306275</v>
      </c>
      <c r="CY4" s="20" t="e">
        <f>([1]Inputs!$E$96*[1]Fuel_Specs!#REF!+(1-[1]Inputs!$E$96)*[1]Fuel_Specs!#REF!)/CY3</f>
        <v>#REF!</v>
      </c>
      <c r="CZ4" s="21">
        <f t="shared" ref="CZ4:CZ24" ca="1" si="55">DB4+DA4</f>
        <v>1210.7961842492743</v>
      </c>
      <c r="DA4" s="20">
        <f ca="1">INDEX(IF(Veh_Type_Option=1,Vehicles_GCHEV_GridOperation_BD_Car_EC,IF(Veh_Type_Option=2,Vehicles_GCHEV_GridOperation_BD_LDT1_EC,Vehicles_GCHEV_GridOperation_BD_LDT2_EC)),MATCH(Grid_AER,Grid_VMT_AER))*Wh2BTU/Grid_ChargerEfficiency</f>
        <v>1208.2760573187438</v>
      </c>
      <c r="DB4" s="20">
        <f ca="1">INDEX(IF(Veh_Type_Option=1,Vehicles_GCHEV_GridOperation_BD_Car_FE,IF(Veh_Type_Option=2,Vehicles_GCHEV_GridOperation_BD_LDT1_FE,Vehicles_GCHEV_GridOperation_BD_LDT2_FE)),MATCH(Grid_AER,Grid_VMT_AER))</f>
        <v>2.5201269305306275</v>
      </c>
      <c r="DC4" s="22" t="e">
        <f>([1]Inputs!$E$96*[1]Fuel_Specs!#REF!+(1-[1]Inputs!$E$96)*[1]Fuel_Specs!#REF!)/DC3</f>
        <v>#REF!</v>
      </c>
      <c r="DD4" s="20">
        <f t="shared" ref="DD4:DD24" ca="1" si="56">DF4+DE4</f>
        <v>1210.7961842492743</v>
      </c>
      <c r="DE4" s="20">
        <f ca="1">INDEX(IF(Veh_Type_Option=1,Vehicles_GCHEV_GridOperation_RD_Car_EC,IF(Veh_Type_Option=2,Vehicles_GCHEV_GridOperation_RD_LDT1_EC,Vehicles_GCHEV_GridOperation_RD_LDT2_EC)),MATCH(Grid_AER,Grid_VMT_AER))*Wh2BTU/Grid_ChargerEfficiency</f>
        <v>1208.2760573187438</v>
      </c>
      <c r="DF4" s="20">
        <f ca="1">INDEX(IF(Veh_Type_Option=1,Vehicles_GCHEV_GridOperation_RD_Car_FE,IF(Veh_Type_Option=2,Vehicles_GCHEV_GridOperation_RD_LDT1_FE,Vehicles_GCHEV_GridOperation_RD_LDT2_FE)),MATCH(Grid_AER,Grid_VMT_AER))</f>
        <v>2.5201269305306275</v>
      </c>
      <c r="DG4" s="22" t="e">
        <f>([1]Inputs!$E$96*[1]Fuel_Specs!#REF!+(1-[1]Inputs!$E$96)*[1]Fuel_Specs!#REF!)/DG3</f>
        <v>#REF!</v>
      </c>
      <c r="DH4" s="20">
        <f t="shared" ref="DH4:DH24" ca="1" si="57">DJ4+DI4</f>
        <v>1210.7961842492743</v>
      </c>
      <c r="DI4" s="20">
        <f ca="1">INDEX(IF(Veh_Type_Option=1,Vehicles_GCHEV_GridOperation_ED_Car_EC,IF(Veh_Type_Option=2,Vehicles_GCHEV_GridOperation_ED_LDT1_EC,Vehicles_GCHEV_GridOperation_ED_LDT2_EC)),MATCH(Grid_AER,Grid_VMT_AER))*Wh2BTU/Grid_ChargerEfficiency</f>
        <v>1208.2760573187438</v>
      </c>
      <c r="DJ4" s="20">
        <f ca="1">INDEX(IF(Veh_Type_Option=1,Vehicles_GCHEV_GridOperation_ED_Car_FE,IF(Veh_Type_Option=2,Vehicles_GCHEV_GridOperation_ED_LDT1_FE,Vehicles_GCHEV_GridOperation_ED_LDT2_FE)),MATCH(Grid_AER,Grid_VMT_AER))</f>
        <v>2.5201269305306275</v>
      </c>
      <c r="DK4" s="20" t="e">
        <f>([1]Inputs!$E$96*[1]Fuel_Specs!#REF!+(1-[1]Inputs!$E$96)*[1]Fuel_Specs!#REF!)/DK3</f>
        <v>#REF!</v>
      </c>
      <c r="DL4" s="21" t="e">
        <f>([1]Inputs!$E$96*[1]Fuel_Specs!#REF!+(1-[1]Inputs!$E$96)*[1]Fuel_Specs!#REF!)/DL3</f>
        <v>#REF!</v>
      </c>
      <c r="DM4" s="20" t="e">
        <f>([1]Inputs!$E$96*[1]Fuel_Specs!#REF!+(1-[1]Inputs!$E$96)*[1]Fuel_Specs!#REF!)/DM3</f>
        <v>#REF!</v>
      </c>
      <c r="DN4" s="20" t="e">
        <f>([1]Inputs!$E$96*[1]Fuel_Specs!#REF!+(1-[1]Inputs!$E$96)*[1]Fuel_Specs!#REF!)/DN3</f>
        <v>#REF!</v>
      </c>
      <c r="DO4" s="20" t="e">
        <f>([1]Inputs!$E$96*[1]Fuel_Specs!#REF!+(1-[1]Inputs!$E$96)*[1]Fuel_Specs!#REF!)/DO3</f>
        <v>#REF!</v>
      </c>
      <c r="DP4" s="20" t="e">
        <f>([1]Inputs!$E$96*[1]Fuel_Specs!#REF!+(1-[1]Inputs!$E$96)*[1]Fuel_Specs!#REF!)/DP3</f>
        <v>#REF!</v>
      </c>
      <c r="DQ4" s="20" t="e">
        <f>([1]Inputs!$E$96*[1]Fuel_Specs!#REF!+(1-[1]Inputs!$E$96)*[1]Fuel_Specs!#REF!)/DQ3</f>
        <v>#REF!</v>
      </c>
      <c r="DR4" s="20" t="e">
        <f>([1]Inputs!$E$96*[1]Fuel_Specs!#REF!+(1-[1]Inputs!$E$96)*[1]Fuel_Specs!#REF!)/DR3</f>
        <v>#REF!</v>
      </c>
      <c r="DS4" s="20" t="e">
        <f>([1]Inputs!$E$96*[1]Fuel_Specs!#REF!+(1-[1]Inputs!$E$96)*[1]Fuel_Specs!#REF!)/DS3</f>
        <v>#REF!</v>
      </c>
      <c r="DT4" s="20" t="e">
        <f>([1]Inputs!$E$96*[1]Fuel_Specs!#REF!+(1-[1]Inputs!$E$96)*[1]Fuel_Specs!#REF!)/DT3</f>
        <v>#REF!</v>
      </c>
      <c r="DU4" s="20" t="e">
        <f>([1]Inputs!$E$96*[1]Fuel_Specs!#REF!+(1-[1]Inputs!$E$96)*[1]Fuel_Specs!#REF!)/DU3</f>
        <v>#REF!</v>
      </c>
      <c r="DV4" s="20" t="e">
        <f>([1]Inputs!$E$96*[1]Fuel_Specs!#REF!+(1-[1]Inputs!$E$96)*[1]Fuel_Specs!#REF!)/DV3</f>
        <v>#REF!</v>
      </c>
      <c r="DW4" s="22" t="e">
        <f>([1]Inputs!$E$96*[1]Fuel_Specs!#REF!+(1-[1]Inputs!$E$96)*[1]Fuel_Specs!#REF!)/DW3</f>
        <v>#REF!</v>
      </c>
      <c r="DX4" s="20">
        <f ca="1">DY4+DZ4</f>
        <v>1269.1157617271783</v>
      </c>
      <c r="DY4" s="20">
        <f ca="1">INDEX(IF(Veh_Type_Option=1,Vehicles_GCFCV_GridOperation_Hydrogen_Car_EC,IF(Veh_Type_Option=2,Vehicles_GCFCV_GridOperation_Hydrogen_LDT1_EC,Vehicles_GCFCV_GridOperation_Hydrogen_LDT2_EC)),MATCH(Grid_AER,Grid_VMT_AER))*Wh2BTU/Grid_ChargerEfficiency</f>
        <v>1269.1148295230855</v>
      </c>
      <c r="DZ4" s="20">
        <f ca="1">INDEX(IF(Veh_Type_Option=1,Vehicles_GCFCV_GridOperation_Hydrogen_Car_FE,IF(Veh_Type_Option=2,Vehicles_GCFCV_GridOperation_Hydrogen_LDT1_FE,Vehicles_GCFCV_GridOperation_Hydrogen_LDT2_FE)),MATCH(Grid_AER,Grid_VMT_AER))</f>
        <v>9.3220409288007013E-4</v>
      </c>
      <c r="EA4" s="22" t="e">
        <f>([1]Inputs!$E$96*[1]Fuel_Specs!#REF!+(1-[1]Inputs!$E$96)*[1]Fuel_Specs!#REF!)/EA3</f>
        <v>#REF!</v>
      </c>
      <c r="EB4" s="22" t="e">
        <f>([1]Inputs!$E$96*[1]Fuel_Specs!#REF!+(1-[1]Inputs!$E$96)*[1]Fuel_Specs!#REF!)/EB3</f>
        <v>#REF!</v>
      </c>
      <c r="EC4" s="20" t="e">
        <f>([1]Inputs!$E$96*[1]Fuel_Specs!#REF!+(1-[1]Inputs!$E$96)*[1]Fuel_Specs!#REF!)/EC3</f>
        <v>#REF!</v>
      </c>
      <c r="ED4" s="22" t="e">
        <f>([1]Inputs!$E$96*[1]Fuel_Specs!#REF!+(1-[1]Inputs!$E$96)*[1]Fuel_Specs!#REF!)/ED3</f>
        <v>#REF!</v>
      </c>
      <c r="EE4" s="23" t="e">
        <f>([1]Inputs!$E$96*[1]Fuel_Specs!#REF!+(1-[1]Inputs!$E$96)*[1]Fuel_Specs!#REF!)/EE3</f>
        <v>#REF!</v>
      </c>
    </row>
    <row r="5" spans="1:135" x14ac:dyDescent="0.25">
      <c r="A5" s="5" t="s">
        <v>122</v>
      </c>
      <c r="B5" s="20" t="e">
        <f>([1]Inputs!$E$96*[1]Fuel_Specs!#REF!/B3)*(1-IF([1]Petroleum!$C$10=1,[1]Petroleum!J89,IF([1]Petroleum!$C$10=2,[1]Petroleum!J90,IF([1]Petroleum!$C$10=3,[1]Petroleum!J91,IF([1]Petroleum!$C$10=4,[1]Petroleum!J92))))+IF([1]Petroleum!$C$10=1,[1]Petroleum!J89*[1]Petroleum!I162,IF([1]Petroleum!$C$10=2,[1]Petroleum!J90*[1]Petroleum!I163,IF([1]Petroleum!$C$10=3,[1]Petroleum!J91*[1]Petroleum!I164,IF([1]Petroleum!$C$10=4,[1]Petroleum!J92*[1]Petroleum!I165)))))+((1-[1]Inputs!$E$96)*[1]Fuel_Specs!#REF!/B3)*(1-IF([1]Petroleum!$B$10=1,[1]Petroleum!I89,IF([1]Petroleum!$B$10=2,[1]Petroleum!I90,IF([1]Petroleum!$B$10=3,[1]Petroleum!I91,IF([1]Petroleum!$B$10=4,[1]Petroleum!I92))))+IF([1]Petroleum!$B$10=1,[1]Petroleum!I89*[1]Petroleum!I161,IF([1]Petroleum!$B$10=2,[1]Petroleum!I90*[1]Petroleum!I163,IF([1]Petroleum!$B$10=3,[1]Petroleum!I91*[1]Petroleum!I164,IF([1]Petroleum!$B$10=4,[1]Petroleum!I92*[1]Petroleum!I165)))))</f>
        <v>#REF!</v>
      </c>
      <c r="C5" s="20" t="e">
        <f>C4*(1-IF([1]Petroleum!$D$10=1,[1]Petroleum!K89,IF([1]Petroleum!$D$10=2,[1]Petroleum!K90,IF([1]Petroleum!$D$10=3,[1]Petroleum!K91,IF([1]Petroleum!$D$10=4,[1]Petroleum!K92))))+IF([1]Petroleum!$D$10=1,[1]Petroleum!K89*[1]Petroleum!I162,IF([1]Petroleum!$D$10=2,[1]Petroleum!K90*[1]Petroleum!I163,IF([1]Petroleum!$D$10=3,[1]Petroleum!K91*[1]Petroleum!I164,IF([1]Petroleum!$D$10=4,[1]Petroleum!K92*[1]Petroleum!I165)))))</f>
        <v>#REF!</v>
      </c>
      <c r="D5" s="20" t="e">
        <f>D4*((1-$C$35)*(1-$C$7)*[1]Fuel_Specs!#REF!+$C$35*(1-$C$7)*[1]Fuel_Specs!#REF!)/((1-$C$35)*(1-$C$7)*[1]Fuel_Specs!#REF!+$C$35*(1-$C$7)*[1]Fuel_Specs!#REF!+$C$7*[1]Fuel_Specs!#REF!)</f>
        <v>#REF!</v>
      </c>
      <c r="E5" s="20" t="e">
        <f>IF(OR([1]Inputs!$F$122=3,[1]Inputs!$F$122=4),0,E4)</f>
        <v>#REF!</v>
      </c>
      <c r="F5" s="20" t="e">
        <f>IF(OR([1]Inputs!$F$122=3,[1]Inputs!$F$122=4),0,F4)</f>
        <v>#REF!</v>
      </c>
      <c r="G5" s="20" t="e">
        <f>IF(OR([1]Inputs!$H$122=3,[1]Inputs!$H$122=4),0,G4)</f>
        <v>#REF!</v>
      </c>
      <c r="H5" s="20" t="e">
        <f>H4*([1]NG!#REF!+[1]NG!#REF!)</f>
        <v>#REF!</v>
      </c>
      <c r="I5" s="20" t="e">
        <f>I4*($C$34*(1-$C$5)*[1]Fuel_Specs!#REF!/((1-$C$34)*(1-$C$5)*[1]Fuel_Specs!#REF!+$C$34*(1-$C$5)*[1]Fuel_Specs!#REF!+$C$5*[1]Fuel_Specs!#REF!)+(1-$C$34)*(1-$C$5)*[1]Fuel_Specs!#REF!/((1-$C$34)*(1-$C$5)*[1]Fuel_Specs!#REF!+$C$34*(1-$C$5)*[1]Fuel_Specs!#REF!+$C$5*[1]Fuel_Specs!#REF!)+IF(OR([1]Inputs!$F$167=3,[1]Inputs!$F$167=4,[1]Inputs!$F$167=5,[1]Inputs!$F$167=9),0,$C$5*[1]Fuel_Specs!#REF!/((1-$C$34)*(1-$C$5)*[1]Fuel_Specs!#REF!+$C$34*(1-$C$5)*[1]Fuel_Specs!#REF!+$C$5*[1]Fuel_Specs!#REF!)))</f>
        <v>#REF!</v>
      </c>
      <c r="J5" s="20" t="e">
        <f>J4*($C$34*(1-$C$6)*[1]Fuel_Specs!#REF!/((1-$C$34)*(1-$C$6)*[1]Fuel_Specs!#REF!+$C$34*(1-$C$6)*[1]Fuel_Specs!#REF!+$C$6*[1]Fuel_Specs!#REF!)+(1-$C$34)*(1-$C$6)*[1]Fuel_Specs!#REF!/((1-$C$34)*(1-$C$6)*[1]Fuel_Specs!#REF!+$C$34*(1-$C$6)*[1]Fuel_Specs!#REF!+$C$6*[1]Fuel_Specs!#REF!)+IF(OR([1]Inputs!$F$167=3,[1]Inputs!$F$167=4,[1]Inputs!$F$167=5,[1]Inputs!$F$167=9),0,$C$6*[1]Fuel_Specs!#REF!/((1-$C$34)*(1-$C$6)*[1]Fuel_Specs!#REF!+$C$34*(1-$C$6)*[1]Fuel_Specs!#REF!+$C$6*[1]Fuel_Specs!#REF!)))</f>
        <v>#REF!</v>
      </c>
      <c r="K5" s="20" t="e">
        <f>K4*$C$36*(1-$C$8)*[1]Fuel_Specs!#REF!/((1-$C$36)*(1-$C$8)*[1]Fuel_Specs!#REF!+$C$36*(1-$C$8)*[1]Fuel_Specs!#REF!+$C$8*[1]Fuel_Specs!#REF!)+K4*(1-$C$36)*(1-$C$8)*[1]Fuel_Specs!#REF!/((1-$C$36)*(1-$C$8)*[1]Fuel_Specs!#REF!+$C$36*(1-$C$8)*[1]Fuel_Specs!#REF!+$C$8*[1]Fuel_Specs!#REF!)</f>
        <v>#REF!</v>
      </c>
      <c r="L5" s="20" t="e">
        <f>L4*$C$37*(1-$C$12)*[1]Fuel_Specs!#REF!/((1-$C$37)*(1-$C$12)*[1]Fuel_Specs!#REF!+$C$37*(1-$C$12)*[1]Fuel_Specs!#REF!+$C$12*[1]Fuel_Specs!#REF!)+L4*(1-$C$37)*(1-$C$12)*[1]Fuel_Specs!#REF!/((1-$C$37)*(1-$C$12)*[1]Fuel_Specs!#REF!+$C$37*(1-$C$12)*[1]Fuel_Specs!#REF!+$C$12*[1]Fuel_Specs!#REF!)</f>
        <v>#REF!</v>
      </c>
      <c r="M5" s="20" t="e">
        <f>M4*$C$36*(1-$C$9)*[1]Fuel_Specs!#REF!/((1-$C$36)*(1-$C$9)*[1]Fuel_Specs!#REF!+$C$36*(1-$C$9)*[1]Fuel_Specs!#REF!+$C$9*[1]Fuel_Specs!#REF!)+M4*(1-$C$36)*(1-$C$9)*[1]Fuel_Specs!#REF!/((1-$C$36)*(1-$C$9)*[1]Fuel_Specs!#REF!+$C$36*(1-$C$9)*[1]Fuel_Specs!#REF!+$C$9*[1]Fuel_Specs!#REF!)</f>
        <v>#REF!</v>
      </c>
      <c r="N5" s="20" t="e">
        <f>IF([1]Inputs!$E$324=6,N4*[1]Hydrogen!$O$7*([1]Electric!$G$205)/([1]Electric!$G$204),IF(OR([1]Inputs!$E$324=4,[1]Inputs!$E$324=5),N4*[1]Hydrogen!$O$7*0,N4*[1]Hydrogen!$O$7))+N4*0*([1]Hydrogen!$C$7+[1]Hydrogen!$D$7+[1]Hydrogen!$E$7+[1]Hydrogen!$G$7+[1]Hydrogen!$P$7)+N4*[1]Hydrogen!$R$7*IF(OR([1]Inputs!$F$167=3,[1]Inputs!$F$167=4,[1]Inputs!$F$167=5), 0, 1)+N4*(1-[1]Hydrogen!$O$7-[1]Hydrogen!$C$7-[1]Hydrogen!$D$7-[1]Hydrogen!$E$7-[1]Hydrogen!$G$7-[1]Hydrogen!$P$7-[1]Hydrogen!$R$7-[1]Hydrogen!$B$7*IF(OR([1]Inputs!$F$260=3,[1]Inputs!$F$260=4),1,0)-[1]Hydrogen!$N$7*IF(OR([1]Inputs!$F$261=3,[1]Inputs!$F$261=4),1,0))</f>
        <v>#REF!</v>
      </c>
      <c r="O5" s="20" t="e">
        <f>IF(OR([1]Inputs!$F$324=6,[1]Inputs!$F$324=8,[1]Inputs!$F$324=9,[1]Inputs!$F$324=10),O4*[1]Hydrogen!$O$8*([1]Electric!$G$205)/([1]Electric!$G$204),IF(OR([1]Inputs!$F$324=4,[1]Inputs!$F$324=5),O4*[1]Hydrogen!$O$8*0,O4*[1]Hydrogen!$O$8))+O4*0*([1]Hydrogen!$C$8+[1]Hydrogen!$D$8+[1]Hydrogen!$E$8+[1]Hydrogen!$G$8+[1]Hydrogen!$P$8)+O4*[1]Hydrogen!$R$8*IF(OR([1]Inputs!$F$167=3,[1]Inputs!$F$167=4,[1]Inputs!$F$167=5), 0, 1)+O4*(1-[1]Hydrogen!$O$8-[1]Hydrogen!$C$8-[1]Hydrogen!$D$8-[1]Hydrogen!$E$8-[1]Hydrogen!$G$8-[1]Hydrogen!$P$8-[1]Hydrogen!$R$8-[1]Hydrogen!$B$8*IF(OR([1]Inputs!$G$260=3,[1]Inputs!$G$260=4),1,0)-[1]Hydrogen!$N$8*IF(OR([1]Inputs!$G$261=3,[1]Inputs!$G$261=4),1,0))</f>
        <v>#REF!</v>
      </c>
      <c r="P5" s="20" t="e">
        <f>P4*($C$40*(1-$C$16)*[1]Fuel_Specs!#REF!/((1-$C$40)*(1-$C$16)*[1]Fuel_Specs!#REF!+$C$40*(1-$C$16)*[1]Fuel_Specs!#REF!+$C$16*[1]Fuel_Specs!#REF!)+(1-$C$40)*(1-$C$16)*[1]Fuel_Specs!#REF!/((1-$C$40)*(1-$C$16)*[1]Fuel_Specs!#REF!+$C$40*(1-$C$16)*[1]Fuel_Specs!#REF!+$C$16*[1]Fuel_Specs!#REF!))</f>
        <v>#REF!</v>
      </c>
      <c r="Q5" s="20" t="e">
        <f>Q4*($C$40*(1-$C$16)*[1]Fuel_Specs!#REF!/((1-$C$40)*(1-$C$16)*[1]Fuel_Specs!#REF!+$C$40*(1-$C$16)*[1]Fuel_Specs!#REF!+$C$16*[1]Fuel_Specs!#REF!)+(1-$C$40)*(1-$C$16)*[1]Fuel_Specs!#REF!/((1-$C$40)*(1-$C$16)*[1]Fuel_Specs!#REF!+$C$40*(1-$C$16)*[1]Fuel_Specs!#REF!+$C$16*[1]Fuel_Specs!#REF!))</f>
        <v>#REF!</v>
      </c>
      <c r="R5" s="20" t="e">
        <f>R4*($C$40*(1-$C$16)*[1]Fuel_Specs!#REF!/((1-$C$40)*(1-$C$16)*[1]Fuel_Specs!#REF!+$C$40*(1-$C$16)*[1]Fuel_Specs!#REF!+$C$16*[1]Fuel_Specs!#REF!)+(1-$C$40)*(1-$C$16)*[1]Fuel_Specs!#REF!/((1-$C$40)*(1-$C$16)*[1]Fuel_Specs!#REF!+$C$40*(1-$C$16)*[1]Fuel_Specs!#REF!+$C$16*[1]Fuel_Specs!#REF!))</f>
        <v>#REF!</v>
      </c>
      <c r="S5" s="20" t="e">
        <f>S4*((1-$C$38)*(1-$C$10)*[1]Fuel_Specs!#REF!+$C$38*(1-$C$10)*[1]Fuel_Specs!#REF!)/((1-$C$38)*(1-$C$10)*[1]Fuel_Specs!#REF!+$C$38*(1-$C$10)*[1]Fuel_Specs!#REF!+$C$10*[1]Fuel_Specs!#REF!)</f>
        <v>#REF!</v>
      </c>
      <c r="T5" s="20" t="e">
        <f>T4*((1-$C$38)*(1-$C$10)*[1]Fuel_Specs!#REF!+$C$38*(1-$C$10)*[1]Fuel_Specs!#REF!)/((1-$C$38)*(1-$C$10)*[1]Fuel_Specs!#REF!+$C$38*(1-$C$10)*[1]Fuel_Specs!#REF!+$C$10*[1]Fuel_Specs!#REF!)</f>
        <v>#REF!</v>
      </c>
      <c r="U5" s="20" t="e">
        <f>U4*((1-$C$39)*(1-$C$11)*[1]Fuel_Specs!#REF!+$C$39*(1-$C$11)*[1]Fuel_Specs!#REF!)/((1-$C$39)*(1-$C$11)*[1]Fuel_Specs!#REF!+$C$39*(1-$C$11)*[1]Fuel_Specs!#REF!+$C$11*[1]Fuel_Specs!#REF!)</f>
        <v>#REF!</v>
      </c>
      <c r="V5" s="21" t="e">
        <f>([1]Inputs!$E$96*[1]Fuel_Specs!#REF!/V3)*(1-IF([1]Petroleum!$C$10=1,[1]Petroleum!J89,IF([1]Petroleum!$C$10=2,[1]Petroleum!J90,IF([1]Petroleum!$C$10=3,[1]Petroleum!J91,IF([1]Petroleum!$C$10=4,[1]Petroleum!J92))))+IF([1]Petroleum!$C$10=1,[1]Petroleum!J89*[1]Petroleum!I162,IF([1]Petroleum!$C$10=2,[1]Petroleum!J90*[1]Petroleum!I163,IF([1]Petroleum!$C$10=3,[1]Petroleum!J91*[1]Petroleum!I164,IF([1]Petroleum!$C$10=4,[1]Petroleum!J92*[1]Petroleum!I165)))))+((1-[1]Inputs!$E$96)*[1]Fuel_Specs!#REF!/V3)*(1-IF([1]Petroleum!$B$10=1,[1]Petroleum!I89,IF([1]Petroleum!$B$10=2,[1]Petroleum!I90,IF([1]Petroleum!$B$10=3,[1]Petroleum!I91,IF([1]Petroleum!$B$10=4,[1]Petroleum!I92))))+IF([1]Petroleum!$B$10=1,[1]Petroleum!I89*[1]Petroleum!I161,IF([1]Petroleum!$B$10=2,[1]Petroleum!I90*[1]Petroleum!I163,IF([1]Petroleum!$B$10=3,[1]Petroleum!I91*[1]Petroleum!I164,IF([1]Petroleum!$B$10=4,[1]Petroleum!I92*[1]Petroleum!I165)))))</f>
        <v>#REF!</v>
      </c>
      <c r="W5" s="20" t="e">
        <f>W4*(1-IF([1]Petroleum!$D$10=1,[1]Petroleum!K89,IF([1]Petroleum!$D$10=2,[1]Petroleum!K90,IF([1]Petroleum!$D$10=3,[1]Petroleum!K91,IF([1]Petroleum!$D$10=4,[1]Petroleum!K92))))+IF([1]Petroleum!$D$10=1,[1]Petroleum!K89*[1]Petroleum!I162,IF([1]Petroleum!$D$10=2,[1]Petroleum!K90*[1]Petroleum!I163,IF([1]Petroleum!$D$10=3,[1]Petroleum!K91*[1]Petroleum!I164,IF([1]Petroleum!$D$10=4,[1]Petroleum!K92*[1]Petroleum!I165)))))</f>
        <v>#REF!</v>
      </c>
      <c r="X5" s="20" t="e">
        <f>X4*((1-$C$35)*(1-$C$7)*[1]Fuel_Specs!#REF!+$C$35*(1-$C$7)*[1]Fuel_Specs!#REF!)/((1-$C$35)*(1-$C$7)*[1]Fuel_Specs!#REF!+$C$35*(1-$C$7)*[1]Fuel_Specs!#REF!+$C$7*[1]Fuel_Specs!#REF!)</f>
        <v>#REF!</v>
      </c>
      <c r="Y5" s="20" t="e">
        <f>Y4*($C$34*(1-$C$6)*[1]Fuel_Specs!#REF!/((1-$C$34)*(1-$C$6)*[1]Fuel_Specs!#REF!+$C$34*(1-$C$6)*[1]Fuel_Specs!#REF!+$C$6*[1]Fuel_Specs!#REF!)+(1-$C$34)*(1-$C$6)*[1]Fuel_Specs!#REF!/((1-$C$34)*(1-$C$6)*[1]Fuel_Specs!#REF!+$C$34*(1-$C$6)*[1]Fuel_Specs!#REF!+$C$6*[1]Fuel_Specs!#REF!)+IF(OR([1]Inputs!$F$167=3,[1]Inputs!$F$167=4,[1]Inputs!$F$167=5),0,$C$6*[1]Fuel_Specs!#REF!/((1-$C$34)*(1-$C$6)*[1]Fuel_Specs!#REF!+$C$34*(1-$C$6)*[1]Fuel_Specs!#REF!+$C$6*[1]Fuel_Specs!#REF!)))</f>
        <v>#REF!</v>
      </c>
      <c r="Z5" s="22" t="e">
        <f>Z4*$C$36*(1-$C$9)*[1]Fuel_Specs!#REF!/((1-$C$36)*(1-$C$9)*[1]Fuel_Specs!#REF!+$C$36*(1-$C$9)*[1]Fuel_Specs!#REF!+$C$9*[1]Fuel_Specs!#REF!)+Z4*(1-$C$36)*(1-$C$9)*[1]Fuel_Specs!#REF!/((1-$C$36)*(1-$C$9)*[1]Fuel_Specs!#REF!+$C$36*(1-$C$9)*[1]Fuel_Specs!#REF!+$C$9*[1]Fuel_Specs!#REF!)</f>
        <v>#REF!</v>
      </c>
      <c r="AA5" s="20" t="e">
        <f>AA4</f>
        <v>#REF!</v>
      </c>
      <c r="AB5" s="20" t="e">
        <f>IF(OR([1]Inputs!$F$168=3,[1]Inputs!$F$168=4,[1]Inputs!$F$168=5,[1]Inputs!$F$168=9),0,IF(AND([1]Inputs!$F$168=10,OR([1]Inputs!$F$167=3,[1]Inputs!$F$167=4,[1]Inputs!$F$167=5,[1]Inputs!$F$167=9)),0,AB4))</f>
        <v>#REF!</v>
      </c>
      <c r="AC5" s="20" t="e">
        <f>AC4*($C$41*(1-$C$13)*[1]Fuel_Specs!#REF!/((1-$C$41)*(1-$C$13)*[1]Fuel_Specs!#REF!+$C$41*(1-$C$13)*[1]Fuel_Specs!#REF!+$C$13*[1]Fuel_Specs!#REF!)+(1-$C$41)*(1-$C$13)*[1]Fuel_Specs!#REF!/((1-$C$41)*(1-$C$13)*[1]Fuel_Specs!#REF!+$C$41*(1-$C$13)*[1]Fuel_Specs!#REF!+$C$13*[1]Fuel_Specs!#REF!)+IF(OR([1]Inputs!$F$169=3,[1]Inputs!$F$169=4,[1]Inputs!$F$169=5, [1]Inputs!$F$169=11),0,$C$13*[1]Fuel_Specs!#REF!/((1-$C$41)*(1-$C$13)*[1]Fuel_Specs!#REF!+$C$41*(1-$C$13)*[1]Fuel_Specs!#REF!+$C$13*[1]Fuel_Specs!#REF!)*IF([1]Inputs!$F$169=7,[1]MeOH_FTD!#REF!,IF([1]Inputs!$F$169=8,[1]MeOH_FTD!#REF!,1))))</f>
        <v>#REF!</v>
      </c>
      <c r="AD5" s="20" t="e">
        <f>AD4*($C$42*(1-$C$14)*[1]Fuel_Specs!#REF!/((1-$C$42)*(1-$C$14)*[1]Fuel_Specs!#REF!+$C$42*(1-$C$14)*[1]Fuel_Specs!#REF!+$C$14*[1]Fuel_Specs!#REF!)+(1-$C$42)*(1-$C$14)*[1]Fuel_Specs!#REF!/((1-$C$42)*(1-$C$14)*[1]Fuel_Specs!#REF!+$C$42*(1-$C$14)*[1]Fuel_Specs!#REF!+$C$14*[1]Fuel_Specs!#REF!))</f>
        <v>#REF!</v>
      </c>
      <c r="AE5" s="20" t="e">
        <f>AE4*($C$43*(1-$C$15)*[1]Fuel_Specs!#REF!/((1-$C$43)*(1-$C$15)*[1]Fuel_Specs!#REF!+$C$43*(1-$C$15)*[1]Fuel_Specs!#REF!+$C$15*IF([1]Inputs!$E$755=1,[1]Fuel_Specs!$B$42,IF([1]Inputs!$E$755=3,[1]Fuel_Specs!$B$44,[1]Fuel_Specs!$B$43)))+(1-$C$43)*(1-$C$15)*[1]Fuel_Specs!#REF!/((1-$C$43)*(1-$C$15)*[1]Fuel_Specs!#REF!+$C$43*(1-$C$15)*[1]Fuel_Specs!#REF!+$C$15*IF([1]Inputs!$E$755=1,[1]Fuel_Specs!$B$42,IF([1]Inputs!$E$755=3,[1]Fuel_Specs!$B$44,[1]Fuel_Specs!$B$43))))</f>
        <v>#REF!</v>
      </c>
      <c r="AF5" s="20" t="e">
        <f>AF4*($C$44*(1-$C$17-$C$18)*[1]Fuel_Specs!#REF!+(1-$C$44)*(1-$C$17-$C$18)*[1]Fuel_Specs!#REF!+$C$18*[1]Fuel_Specs!$B$35)/($C$44*(1-$C$17-$C$18)*[1]Fuel_Specs!#REF!+(1-$C$44)*(1-$C$17-$C$18)*[1]Fuel_Specs!#REF!+$C$17*[1]Fuel_Specs!#REF!+$C$18*[1]Fuel_Specs!$B$35)</f>
        <v>#REF!</v>
      </c>
      <c r="AG5" s="20" t="e">
        <f>AG4*($C$44*(1-$C$17-$C$18)*[1]Fuel_Specs!#REF!+(1-$C$44)*(1-$C$17-$C$18)*[1]Fuel_Specs!#REF!+$C$18*[1]Fuel_Specs!$B$35)/($C$44*(1-$C$17-$C$18)*[1]Fuel_Specs!#REF!+(1-$C$44)*(1-$C$17-$C$18)*[1]Fuel_Specs!#REF!+$C$17*[1]Fuel_Specs!#REF!+$C$18*[1]Fuel_Specs!$B$35)</f>
        <v>#REF!</v>
      </c>
      <c r="AH5" s="21" t="e">
        <f>([1]Inputs!$E$96*[1]Fuel_Specs!#REF!/AH3)*(1-IF([1]Petroleum!$C$10=1,[1]Petroleum!J89,IF([1]Petroleum!$C$10=2,[1]Petroleum!J90,IF([1]Petroleum!$C$10=3,[1]Petroleum!J91,IF([1]Petroleum!$C$10=4,[1]Petroleum!J92))))+IF([1]Petroleum!$C$10=1,[1]Petroleum!J89*[1]Petroleum!I162,IF([1]Petroleum!$C$10=2,[1]Petroleum!J90*[1]Petroleum!I163,IF([1]Petroleum!$C$10=3,[1]Petroleum!J91*[1]Petroleum!I164,IF([1]Petroleum!$C$10=4,[1]Petroleum!J92*[1]Petroleum!I165)))))+((1-[1]Inputs!$E$96)*[1]Fuel_Specs!#REF!/AH3)*(1-IF([1]Petroleum!$B$10=1,[1]Petroleum!I89,IF([1]Petroleum!$B$10=2,[1]Petroleum!I90,IF([1]Petroleum!$B$10=3,[1]Petroleum!I91,IF([1]Petroleum!$B$10=4,[1]Petroleum!I92))))+IF([1]Petroleum!$B$10=1,[1]Petroleum!I89*[1]Petroleum!I161,IF([1]Petroleum!$B$10=2,[1]Petroleum!I90*[1]Petroleum!I163,IF([1]Petroleum!$B$10=3,[1]Petroleum!I91*[1]Petroleum!I164,IF([1]Petroleum!$B$10=4,[1]Petroleum!I92*[1]Petroleum!I165)))))</f>
        <v>#REF!</v>
      </c>
      <c r="AI5" s="20" t="e">
        <f>AI4*(1-IF([1]Petroleum!$D$10=1,[1]Petroleum!K89,IF([1]Petroleum!$D$10=2,[1]Petroleum!K90,IF([1]Petroleum!$D$10=3,[1]Petroleum!K91,IF([1]Petroleum!$D$10=4,[1]Petroleum!K92))))+IF([1]Petroleum!$D$10=1,[1]Petroleum!K89*[1]Petroleum!I162,IF([1]Petroleum!$D$10=2,[1]Petroleum!K90*[1]Petroleum!I163,IF([1]Petroleum!$D$10=3,[1]Petroleum!K91*[1]Petroleum!I164,IF([1]Petroleum!$D$10=4,[1]Petroleum!K92*[1]Petroleum!I165)))))</f>
        <v>#REF!</v>
      </c>
      <c r="AJ5" s="20" t="e">
        <f>AJ4*($C$40*(1-$C$16)*[1]Fuel_Specs!#REF!/((1-$C$40)*(1-$C$16)*[1]Fuel_Specs!#REF!+$C$40*(1-$C$16)*[1]Fuel_Specs!#REF!+$C$16*[1]Fuel_Specs!#REF!)+(1-$C$40)*(1-$C$16)*[1]Fuel_Specs!#REF!/((1-$C$40)*(1-$C$16)*[1]Fuel_Specs!#REF!+$C$40*(1-$C$16)*[1]Fuel_Specs!#REF!+$C$16*[1]Fuel_Specs!#REF!))</f>
        <v>#REF!</v>
      </c>
      <c r="AK5" s="20" t="e">
        <f>AK4*((1-$C$35)*(1-$C$7)*[1]Fuel_Specs!#REF!+$C$35*(1-$C$7)*[1]Fuel_Specs!#REF!)/((1-$C$35)*(1-$C$7)*[1]Fuel_Specs!#REF!+$C$35*(1-$C$7)*[1]Fuel_Specs!#REF!+$C$7*[1]Fuel_Specs!#REF!)</f>
        <v>#REF!</v>
      </c>
      <c r="AL5" s="20" t="e">
        <f>IF(OR([1]Inputs!$F$122=3,[1]Inputs!$F$122=4),0,AL4)</f>
        <v>#REF!</v>
      </c>
      <c r="AM5" s="20" t="e">
        <f>IF(OR([1]Inputs!$H$122=3,[1]Inputs!$H$122=4),0,AM4)</f>
        <v>#REF!</v>
      </c>
      <c r="AN5" s="20" t="e">
        <f>AN4*([1]NG!#REF!+[1]NG!#REF!)</f>
        <v>#REF!</v>
      </c>
      <c r="AO5" s="20" t="e">
        <f>AO4*($C$34*(1-$C$6)*[1]Fuel_Specs!#REF!/((1-$C$34)*(1-$C$6)*[1]Fuel_Specs!#REF!+$C$34*(1-$C$6)*[1]Fuel_Specs!#REF!+$C$6*[1]Fuel_Specs!#REF!)+(1-$C$34)*(1-$C$6)*[1]Fuel_Specs!#REF!/((1-$C$34)*(1-$C$6)*[1]Fuel_Specs!#REF!+$C$34*(1-$C$6)*[1]Fuel_Specs!#REF!+$C$6*[1]Fuel_Specs!#REF!)+IF(OR([1]Inputs!$F$167=3,[1]Inputs!$F$167=4,[1]Inputs!$F$167=5,[1]Inputs!$F$167=9),0,$C$6*[1]Fuel_Specs!#REF!/((1-$C$34)*(1-$C$6)*[1]Fuel_Specs!#REF!+$C$34*(1-$C$6)*[1]Fuel_Specs!#REF!+$C$6*[1]Fuel_Specs!#REF!)))</f>
        <v>#REF!</v>
      </c>
      <c r="AP5" s="20" t="e">
        <f>AP4*$C$36*(1-$C$9)*[1]Fuel_Specs!#REF!/((1-$C$36)*(1-$C$9)*[1]Fuel_Specs!#REF!+$C$36*(1-$C$9)*[1]Fuel_Specs!#REF!+$C$9*[1]Fuel_Specs!#REF!)+AP4*(1-$C$36)*(1-$C$9)*[1]Fuel_Specs!#REF!/((1-$C$36)*(1-$C$9)*[1]Fuel_Specs!#REF!+$C$36*(1-$C$9)*[1]Fuel_Specs!#REF!+$C$9*[1]Fuel_Specs!#REF!)</f>
        <v>#REF!</v>
      </c>
      <c r="AQ5" s="20" t="e">
        <f>IF([1]Inputs!$E$324=6,AQ4*[1]Hydrogen!$O$7*([1]Electric!$G$205)/([1]Electric!$G$204),IF(OR([1]Inputs!$E$324=4,[1]Inputs!$E$324=5),AQ4*[1]Hydrogen!$O$7*0,AQ4*[1]Hydrogen!$O$7))+AQ4*0*([1]Hydrogen!$C$7+[1]Hydrogen!$D$7+[1]Hydrogen!$E$7+[1]Hydrogen!$G$7+[1]Hydrogen!$P$7)+AQ4*[1]Hydrogen!$R$7*IF(OR([1]Inputs!$F$167=3,[1]Inputs!$F$167=4,[1]Inputs!$F$167=5), 0, 1)+AQ4*(1-[1]Hydrogen!$O$7-[1]Hydrogen!$C$7-[1]Hydrogen!$D$7-[1]Hydrogen!$E$7-[1]Hydrogen!$G$7-[1]Hydrogen!$P$7-[1]Hydrogen!$R$7-[1]Hydrogen!$B$7*IF(OR([1]Inputs!$F$260=3,[1]Inputs!$F$260=4),1,0)-[1]Hydrogen!$N$7*IF(OR([1]Inputs!$F$261=3,[1]Inputs!$F$261=4),1,0))</f>
        <v>#REF!</v>
      </c>
      <c r="AR5" s="22" t="e">
        <f>IF(OR([1]Inputs!$F$324=6,[1]Inputs!$F$324=8,[1]Inputs!$F$324=9,[1]Inputs!$F$324=10),AR4*[1]Hydrogen!$O$8*([1]Electric!$G$205)/([1]Electric!$G$204),IF(OR([1]Inputs!$F$324=4,[1]Inputs!$F$324=5),AR4*[1]Hydrogen!$O$8*0,AR4*[1]Hydrogen!$O$8))+AR4*0*([1]Hydrogen!$C$8+[1]Hydrogen!$D$8+[1]Hydrogen!$E$8+[1]Hydrogen!$G$8+[1]Hydrogen!$P$8)+AR4*[1]Hydrogen!$R$8*IF(OR([1]Inputs!$F$167=3,[1]Inputs!$F$167=4,[1]Inputs!$F$167=5), 0, 1)+AR4*(1-[1]Hydrogen!$O$8-[1]Hydrogen!$C$8-[1]Hydrogen!$D$8-[1]Hydrogen!$E$8-[1]Hydrogen!$G$8-[1]Hydrogen!$P$8-[1]Hydrogen!$R$8-[1]Hydrogen!$B$8*IF(OR([1]Inputs!$G$260=3,[1]Inputs!$G$260=4),1,0)-[1]Hydrogen!$N$8*IF(OR([1]Inputs!$G$261=3,[1]Inputs!$G$261=4),1,0))</f>
        <v>#REF!</v>
      </c>
      <c r="AS5" s="20" t="e">
        <f ca="1">AU5+AT5</f>
        <v>#REF!</v>
      </c>
      <c r="AT5" s="20">
        <f ca="1">AT4*([1]Electric!$G$205)/([1]Electric!$G$204)</f>
        <v>777.43657904749909</v>
      </c>
      <c r="AU5" s="20" t="e">
        <f ca="1">([1]Inputs!$E$96*[1]Fuel_Specs!#REF!/AU3)*(1-IF([1]Petroleum!$C$10=1,[1]Petroleum!J89,IF([1]Petroleum!$C$10=2,[1]Petroleum!J90,IF([1]Petroleum!$C$10=3,[1]Petroleum!J91,IF([1]Petroleum!$C$10=4,[1]Petroleum!J92))))+IF([1]Petroleum!$C$10=1,[1]Petroleum!J89*[1]Petroleum!I162,IF([1]Petroleum!$C$10=2,[1]Petroleum!J90*[1]Petroleum!I163,IF([1]Petroleum!$C$10=3,[1]Petroleum!J91*[1]Petroleum!I164,IF([1]Petroleum!$C$10=4,[1]Petroleum!J92*[1]Petroleum!I165)))))+((1-[1]Inputs!$E$96)*[1]Fuel_Specs!#REF!/AU3)*(1-IF([1]Petroleum!$B$10=1,[1]Petroleum!I89,IF([1]Petroleum!$B$10=2,[1]Petroleum!I90,IF([1]Petroleum!$B$10=3,[1]Petroleum!I91,IF([1]Petroleum!$B$10=4,[1]Petroleum!I92))))+IF([1]Petroleum!$B$10=1,[1]Petroleum!I89*[1]Petroleum!I161,IF([1]Petroleum!$B$10=2,[1]Petroleum!I90*[1]Petroleum!I163,IF([1]Petroleum!$B$10=3,[1]Petroleum!I91*[1]Petroleum!I164,IF([1]Petroleum!$B$10=4,[1]Petroleum!I92*[1]Petroleum!I165)))))</f>
        <v>#REF!</v>
      </c>
      <c r="AV5" s="20" t="e">
        <f>([1]Inputs!$E$96*[1]Fuel_Specs!#REF!/AV3)*(1-IF([1]Petroleum!$C$10=1,[1]Petroleum!J89,IF([1]Petroleum!$C$10=2,[1]Petroleum!J90,IF([1]Petroleum!$C$10=3,[1]Petroleum!J91,IF([1]Petroleum!$C$10=4,[1]Petroleum!J92))))+IF([1]Petroleum!$C$10=1,[1]Petroleum!J89*[1]Petroleum!I162,IF([1]Petroleum!$C$10=2,[1]Petroleum!J90*[1]Petroleum!I163,IF([1]Petroleum!$C$10=3,[1]Petroleum!J91*[1]Petroleum!I164,IF([1]Petroleum!$C$10=4,[1]Petroleum!J92*[1]Petroleum!I165)))))+((1-[1]Inputs!$E$96)*[1]Fuel_Specs!#REF!/AV3)*(1-IF([1]Petroleum!$B$10=1,[1]Petroleum!I89,IF([1]Petroleum!$B$10=2,[1]Petroleum!I90,IF([1]Petroleum!$B$10=3,[1]Petroleum!I91,IF([1]Petroleum!$B$10=4,[1]Petroleum!I92))))+IF([1]Petroleum!$B$10=1,[1]Petroleum!I89*[1]Petroleum!I161,IF([1]Petroleum!$B$10=2,[1]Petroleum!I90*[1]Petroleum!I163,IF([1]Petroleum!$B$10=3,[1]Petroleum!I91*[1]Petroleum!I164,IF([1]Petroleum!$B$10=4,[1]Petroleum!I92*[1]Petroleum!I165)))))</f>
        <v>#REF!</v>
      </c>
      <c r="AW5" s="21">
        <f ca="1">AY5+AX5</f>
        <v>779.93440292677178</v>
      </c>
      <c r="AX5" s="20">
        <f ca="1">AX4*([1]Electric!$G$205)/([1]Electric!$G$204)</f>
        <v>777.43657904749909</v>
      </c>
      <c r="AY5" s="20">
        <f ca="1">AY4*(1-IF([1]Petroleum!$D$10=1,[1]Petroleum!K89,IF([1]Petroleum!$D$10=2,[1]Petroleum!K90,IF([1]Petroleum!$D$10=3,[1]Petroleum!K91,IF([1]Petroleum!$D$10=4,[1]Petroleum!K92))))+IF([1]Petroleum!$D$10=1,[1]Petroleum!K89*[1]Petroleum!I162,IF([1]Petroleum!$D$10=2,[1]Petroleum!K90*[1]Petroleum!I163,IF([1]Petroleum!$D$10=3,[1]Petroleum!K91*[1]Petroleum!I164,IF([1]Petroleum!$D$10=4,[1]Petroleum!K92*[1]Petroleum!I165)))))</f>
        <v>2.4978238792726519</v>
      </c>
      <c r="AZ5" s="22" t="e">
        <f>AZ4*(1-IF([1]Petroleum!$D$10=1,[1]Petroleum!K89,IF([1]Petroleum!$D$10=2,[1]Petroleum!K90,IF([1]Petroleum!$D$10=3,[1]Petroleum!K91,IF([1]Petroleum!$D$10=4,[1]Petroleum!K92))))+IF([1]Petroleum!$D$10=1,[1]Petroleum!K89*[1]Petroleum!I162,IF([1]Petroleum!$D$10=2,[1]Petroleum!K90*[1]Petroleum!I163,IF([1]Petroleum!$D$10=3,[1]Petroleum!K91*[1]Petroleum!I164,IF([1]Petroleum!$D$10=4,[1]Petroleum!K92*[1]Petroleum!I165)))))</f>
        <v>#REF!</v>
      </c>
      <c r="BA5" s="21" t="e">
        <f t="shared" ref="BA5:BA24" ca="1" si="58">BC5+BB5</f>
        <v>#REF!</v>
      </c>
      <c r="BB5" s="20">
        <f ca="1">BB4*([1]Electric!$G$205)/([1]Electric!$G$204)</f>
        <v>777.43657904749909</v>
      </c>
      <c r="BC5" s="20" t="e">
        <f ca="1">BC4*($C$40*(1-$C$16)*[1]Fuel_Specs!#REF!/((1-$C$40)*(1-$C$16)*[1]Fuel_Specs!#REF!+$C$40*(1-$C$16)*[1]Fuel_Specs!#REF!+$C$16*[1]Fuel_Specs!#REF!)+(1-$C$40)*(1-$C$16)*[1]Fuel_Specs!#REF!/((1-$C$40)*(1-$C$16)*[1]Fuel_Specs!#REF!+$C$40*(1-$C$16)*[1]Fuel_Specs!#REF!+$C$16*[1]Fuel_Specs!#REF!))</f>
        <v>#REF!</v>
      </c>
      <c r="BD5" s="22" t="e">
        <f>BD4*($C$40*(1-$C$16)*[1]Fuel_Specs!#REF!/((1-$C$40)*(1-$C$16)*[1]Fuel_Specs!#REF!+$C$40*(1-$C$16)*[1]Fuel_Specs!#REF!+$C$16*[1]Fuel_Specs!#REF!)+(1-$C$40)*(1-$C$16)*[1]Fuel_Specs!#REF!/((1-$C$40)*(1-$C$16)*[1]Fuel_Specs!#REF!+$C$40*(1-$C$16)*[1]Fuel_Specs!#REF!+$C$16*[1]Fuel_Specs!#REF!))</f>
        <v>#REF!</v>
      </c>
      <c r="BE5" s="20" t="e">
        <f>BE4*([1]Electric!$G$205)/([1]Electric!$G$204)</f>
        <v>#REF!</v>
      </c>
      <c r="BF5" s="20">
        <f ca="1">BF4*([1]Electric!$G$205)/([1]Electric!$G$204)</f>
        <v>777.43657904749909</v>
      </c>
      <c r="BG5" s="20" t="e">
        <f ca="1">BG4*((1-$C$35)*(1-$C$7)*[1]Fuel_Specs!#REF!+$C$35*(1-$C$7)*[1]Fuel_Specs!#REF!)/((1-$C$35)*(1-$C$7)*[1]Fuel_Specs!#REF!+$C$35*(1-$C$7)*[1]Fuel_Specs!#REF!+$C$7*[1]Fuel_Specs!#REF!)</f>
        <v>#REF!</v>
      </c>
      <c r="BH5" s="20" t="e">
        <f>BH4*((1-$C$35)*(1-$C$7)*[1]Fuel_Specs!#REF!+$C$35*(1-$C$7)*[1]Fuel_Specs!#REF!)/((1-$C$35)*(1-$C$7)*[1]Fuel_Specs!#REF!+$C$35*(1-$C$7)*[1]Fuel_Specs!#REF!+$C$7*[1]Fuel_Specs!#REF!)</f>
        <v>#REF!</v>
      </c>
      <c r="BI5" s="21" t="e">
        <f>BI4*([1]Electric!$G$205)/([1]Electric!$G$204)</f>
        <v>#REF!</v>
      </c>
      <c r="BJ5" s="20">
        <f ca="1">BJ4*([1]Electric!$G$205)/([1]Electric!$G$204)</f>
        <v>777.43657904749909</v>
      </c>
      <c r="BK5" s="20">
        <f ca="1">IF(OR([1]Inputs!$F$122=3,[1]Inputs!$F$122=4),0,BK4)</f>
        <v>2.4978238792726519</v>
      </c>
      <c r="BL5" s="22" t="e">
        <f>IF(OR([1]Inputs!$F$122=3,[1]Inputs!$F$122=4),0,BL4)</f>
        <v>#REF!</v>
      </c>
      <c r="BM5" s="20" t="e">
        <f>BM4*([1]Electric!$G$205)/([1]Electric!$G$204)</f>
        <v>#REF!</v>
      </c>
      <c r="BN5" s="20">
        <f ca="1">BN4*([1]Electric!$G$205)/([1]Electric!$G$204)</f>
        <v>777.43657904749909</v>
      </c>
      <c r="BO5" s="20">
        <f ca="1">IF(OR([1]Inputs!$H$122=3,[1]Inputs!$H$122=4),0,BO4)</f>
        <v>2.4978238792726519</v>
      </c>
      <c r="BP5" s="20" t="e">
        <f>IF(OR([1]Inputs!$H$122=3,[1]Inputs!$H$122=4),0,BP4)</f>
        <v>#REF!</v>
      </c>
      <c r="BQ5" s="21" t="e">
        <f>BQ4*([1]Electric!$G$205)/([1]Electric!$G$204)</f>
        <v>#REF!</v>
      </c>
      <c r="BR5" s="20">
        <f ca="1">BR4*([1]Electric!$G$205)/([1]Electric!$G$204)</f>
        <v>777.43657904749909</v>
      </c>
      <c r="BS5" s="20" t="e">
        <f ca="1">BS4*([1]NG!#REF!+[1]NG!#REF!)</f>
        <v>#REF!</v>
      </c>
      <c r="BT5" s="22" t="e">
        <f>BT4*([1]NG!#REF!+[1]NG!#REF!)</f>
        <v>#REF!</v>
      </c>
      <c r="BU5" s="20" t="e">
        <f>BU4*([1]Electric!$G$205)/([1]Electric!$G$204)</f>
        <v>#REF!</v>
      </c>
      <c r="BV5" s="20">
        <f ca="1">BV4*([1]Electric!$G$205)/([1]Electric!$G$204)</f>
        <v>777.43657904749909</v>
      </c>
      <c r="BW5" s="20" t="e">
        <f ca="1">BW4*($C$34*(1-$C$6)*[1]Fuel_Specs!#REF!/((1-$C$34)*(1-$C$6)*[1]Fuel_Specs!#REF!+$C$34*(1-$C$6)*[1]Fuel_Specs!#REF!+$C$6*[1]Fuel_Specs!#REF!)+(1-$C$34)*(1-$C$6)*[1]Fuel_Specs!#REF!/((1-$C$34)*(1-$C$6)*[1]Fuel_Specs!#REF!+$C$34*(1-$C$6)*[1]Fuel_Specs!#REF!+$C$6*[1]Fuel_Specs!#REF!)+IF(OR([1]Inputs!$F$167=3,[1]Inputs!$F$167=4,[1]Inputs!$F$167=5,[1]Inputs!$F$167=9),0,$C$6*[1]Fuel_Specs!#REF!/((1-$C$34)*(1-$C$6)*[1]Fuel_Specs!#REF!+$C$34*(1-$C$6)*[1]Fuel_Specs!#REF!+$C$6*[1]Fuel_Specs!#REF!)))</f>
        <v>#REF!</v>
      </c>
      <c r="BX5" s="20" t="e">
        <f>BX4*($C$34*(1-$C$6)*[1]Fuel_Specs!#REF!/((1-$C$34)*(1-$C$6)*[1]Fuel_Specs!#REF!+$C$34*(1-$C$6)*[1]Fuel_Specs!#REF!+$C$6*[1]Fuel_Specs!#REF!)+(1-$C$34)*(1-$C$6)*[1]Fuel_Specs!#REF!/((1-$C$34)*(1-$C$6)*[1]Fuel_Specs!#REF!+$C$34*(1-$C$6)*[1]Fuel_Specs!#REF!+$C$6*[1]Fuel_Specs!#REF!)+IF(OR([1]Inputs!$F$167=3,[1]Inputs!$F$167=4,[1]Inputs!$F$167=5,[1]Inputs!$F$167=9),0,$C$6*[1]Fuel_Specs!#REF!/((1-$C$34)*(1-$C$6)*[1]Fuel_Specs!#REF!+$C$34*(1-$C$6)*[1]Fuel_Specs!#REF!+$C$6*[1]Fuel_Specs!#REF!)))</f>
        <v>#REF!</v>
      </c>
      <c r="BY5" s="21" t="e">
        <f ca="1">CA5+BZ5</f>
        <v>#REF!</v>
      </c>
      <c r="BZ5" s="20" t="e">
        <f>BZ$73*([1]Electric!$F136+[1]Electric!$G136)/([1]Electric!$G$204)</f>
        <v>#VALUE!</v>
      </c>
      <c r="CA5" s="20" t="e">
        <f ca="1">CA4*$C$36*(1-$C$9)*[1]Fuel_Specs!#REF!/((1-$C$36)*(1-$C$9)*[1]Fuel_Specs!#REF!+$C$36*(1-$C$9)*[1]Fuel_Specs!#REF!+$C$9*[1]Fuel_Specs!#REF!)+CA4*(1-$C$36)*(1-$C$9)*[1]Fuel_Specs!#REF!/((1-$C$36)*(1-$C$9)*[1]Fuel_Specs!#REF!+$C$36*(1-$C$9)*[1]Fuel_Specs!#REF!+$C$9*[1]Fuel_Specs!#REF!)</f>
        <v>#REF!</v>
      </c>
      <c r="CB5" s="22" t="e">
        <f>CB4*$C$36*(1-$C$9)*[1]Fuel_Specs!#REF!/((1-$C$36)*(1-$C$9)*[1]Fuel_Specs!#REF!+$C$36*(1-$C$9)*[1]Fuel_Specs!#REF!+$C$9*[1]Fuel_Specs!#REF!)+CB4*(1-$C$36)*(1-$C$9)*[1]Fuel_Specs!#REF!/((1-$C$36)*(1-$C$9)*[1]Fuel_Specs!#REF!+$C$36*(1-$C$9)*[1]Fuel_Specs!#REF!+$C$9*[1]Fuel_Specs!#REF!)</f>
        <v>#REF!</v>
      </c>
      <c r="CC5" s="20" t="e">
        <f ca="1">CE5+CD5</f>
        <v>#VALUE!</v>
      </c>
      <c r="CD5" s="20" t="e">
        <f>CD$73*([1]Electric!$F136+[1]Electric!$G136)/([1]Electric!$G$204)</f>
        <v>#VALUE!</v>
      </c>
      <c r="CE5" s="20">
        <f ca="1">IF([1]Inputs!$E$324=6,CE4*[1]Hydrogen!$O$7*([1]Electric!$G$205)/([1]Electric!$G$204),IF(OR([1]Inputs!$E$324=4,[1]Inputs!$E$324=5),CE4*[1]Hydrogen!$O$7*0,CE4*[1]Hydrogen!$O$7))+CE4*0*([1]Hydrogen!$C$7+[1]Hydrogen!$D$7+[1]Hydrogen!$E$7+[1]Hydrogen!$G$7+[1]Hydrogen!$P$7)+CE4*[1]Hydrogen!$R$7*IF(OR([1]Inputs!$F$167=3,[1]Inputs!$F$167=4,[1]Inputs!$F$167=5), 0, 1)+CE4*(1-[1]Hydrogen!$O$7-[1]Hydrogen!$C$7-[1]Hydrogen!$D$7-[1]Hydrogen!$E$7-[1]Hydrogen!$G$7-[1]Hydrogen!$P$7-[1]Hydrogen!$R$7-[1]Hydrogen!$B$7*IF(OR([1]Inputs!$F$260=3,[1]Inputs!$F$260=4),1,0)-[1]Hydrogen!$N$7*IF(OR([1]Inputs!$F$261=3,[1]Inputs!$F$261=4),1,0))</f>
        <v>2.4978238792726519</v>
      </c>
      <c r="CF5" s="20" t="e">
        <f>IF([1]Inputs!$E$324=6,CF4*[1]Hydrogen!$O$7*([1]Electric!$G$205)/([1]Electric!$G$204),IF(OR([1]Inputs!$E$324=4,[1]Inputs!$E$324=5),CF4*[1]Hydrogen!$O$7*0,CF4*[1]Hydrogen!$O$7))+CF4*0*([1]Hydrogen!$C$7+[1]Hydrogen!$D$7+[1]Hydrogen!$E$7+[1]Hydrogen!$G$7+[1]Hydrogen!$P$7)+CF4*[1]Hydrogen!$R$7*IF(OR([1]Inputs!$F$167=3,[1]Inputs!$F$167=4,[1]Inputs!$F$167=5), 0, 1)+CF4*(1-[1]Hydrogen!$O$7-[1]Hydrogen!$C$7-[1]Hydrogen!$D$7-[1]Hydrogen!$E$7-[1]Hydrogen!$G$7-[1]Hydrogen!$P$7-[1]Hydrogen!$R$7-[1]Hydrogen!$B$7*IF(OR([1]Inputs!$F$260=3,[1]Inputs!$F$260=4),1,0)-[1]Hydrogen!$N$7*IF(OR([1]Inputs!$F$261=3,[1]Inputs!$F$261=4),1,0))</f>
        <v>#REF!</v>
      </c>
      <c r="CG5" s="20" t="e">
        <f>IF(OR([1]Inputs!$F$324=6,[1]Inputs!$F$324=8,[1]Inputs!$F$324=9,[1]Inputs!$F$324=10),CG4*[1]Hydrogen!$O$8*([1]Electric!$G$205)/([1]Electric!$G$204),IF(OR([1]Inputs!$F$324=4,[1]Inputs!$F$324=5),CG4*[1]Hydrogen!$O$8*0,CG4*[1]Hydrogen!$O$8))+CG4*0*([1]Hydrogen!$C$8+[1]Hydrogen!$D$8+[1]Hydrogen!$E$8+[1]Hydrogen!$G$8+[1]Hydrogen!$P$8)+CG4*[1]Hydrogen!$R$8*IF(OR([1]Inputs!$F$167=3,[1]Inputs!$F$167=4,[1]Inputs!$F$167=5), 0, 1)+CG4*(1-[1]Hydrogen!$O$8-[1]Hydrogen!$C$8-[1]Hydrogen!$D$8-[1]Hydrogen!$E$8-[1]Hydrogen!$G$8-[1]Hydrogen!$P$8-[1]Hydrogen!$R$8-[1]Hydrogen!$B$8*IF(OR([1]Inputs!$G$260=3,[1]Inputs!$G$260=4),1,0)-[1]Hydrogen!$N$8*IF(OR([1]Inputs!$G$261=3,[1]Inputs!$G$261=4),1,0))</f>
        <v>#REF!</v>
      </c>
      <c r="CH5" s="21" t="e">
        <f>CH4</f>
        <v>#REF!</v>
      </c>
      <c r="CI5" s="20" t="e">
        <f>IF(OR([1]Inputs!$F$168=3,[1]Inputs!$F$168=4,[1]Inputs!$F$168=5,[1]Inputs!$F$168=9),0,IF(AND([1]Inputs!$F$168=10,OR([1]Inputs!$F$167=3,[1]Inputs!$F$167=4,[1]Inputs!$F$167=5,[1]Inputs!$F$167=9)),0,CI4))</f>
        <v>#REF!</v>
      </c>
      <c r="CJ5" s="20" t="e">
        <f>CJ4*($C$41*(1-$C$13)*[1]Fuel_Specs!#REF!/((1-$C$41)*(1-$C$13)*[1]Fuel_Specs!#REF!+$C$41*(1-$C$13)*[1]Fuel_Specs!#REF!+$C$13*[1]Fuel_Specs!#REF!)+(1-$C$41)*(1-$C$13)*[1]Fuel_Specs!#REF!/((1-$C$41)*(1-$C$13)*[1]Fuel_Specs!#REF!+$C$41*(1-$C$13)*[1]Fuel_Specs!#REF!+$C$13*[1]Fuel_Specs!#REF!)+IF(OR([1]Inputs!$F$169=3,[1]Inputs!$F$169=4,[1]Inputs!$F$169=5),0,$C$13*[1]Fuel_Specs!#REF!/((1-$C$41)*(1-$C$13)*[1]Fuel_Specs!#REF!+$C$41*(1-$C$13)*[1]Fuel_Specs!#REF!+$C$13*[1]Fuel_Specs!#REF!)))</f>
        <v>#REF!</v>
      </c>
      <c r="CK5" s="20" t="e">
        <f>CK4*($C$42*(1-$C$14)*[1]Fuel_Specs!#REF!/((1-$C$42)*(1-$C$14)*[1]Fuel_Specs!#REF!+$C$42*(1-$C$14)*[1]Fuel_Specs!#REF!+$C$14*[1]Fuel_Specs!#REF!)+(1-$C$42)*(1-$C$14)*[1]Fuel_Specs!#REF!/((1-$C$42)*(1-$C$14)*[1]Fuel_Specs!#REF!+$C$42*(1-$C$14)*[1]Fuel_Specs!#REF!+$C$14*[1]Fuel_Specs!#REF!))</f>
        <v>#REF!</v>
      </c>
      <c r="CL5" s="20" t="e">
        <f>CL4*($C$43*(1-$C$15)*[1]Fuel_Specs!#REF!/((1-$C$43)*(1-$C$15)*[1]Fuel_Specs!#REF!+$C$43*(1-$C$15)*[1]Fuel_Specs!#REF!+$C$15*IF([1]Inputs!$E$755=1,[1]Fuel_Specs!#REF!,[1]Fuel_Specs!#REF!))+(1-$C$43)*(1-$C$15)*[1]Fuel_Specs!#REF!/((1-$C$43)*(1-$C$15)*[1]Fuel_Specs!#REF!+$C$43*(1-$C$15)*[1]Fuel_Specs!#REF!+$C$15*IF([1]Inputs!$E$755=1,[1]Fuel_Specs!#REF!,[1]Fuel_Specs!#REF!)))</f>
        <v>#REF!</v>
      </c>
      <c r="CM5" s="22" t="e">
        <f>CM4*($C$44*(1-$C$17-$C$18)*[1]Fuel_Specs!#REF!+(1-$C$44)*(1-$C$17-$C$18)*[1]Fuel_Specs!#REF!+$C$18*[1]Fuel_Specs!$B$35)/($C$44*(1-$C$17-$C$18)*[1]Fuel_Specs!#REF!+(1-$C$44)*(1-$C$17-$C$18)*[1]Fuel_Specs!#REF!+$C$17*[1]Fuel_Specs!#REF!+$C$18*[1]Fuel_Specs!$B$35)</f>
        <v>#REF!</v>
      </c>
      <c r="CN5" s="20" t="e">
        <f ca="1">CP5+CO5</f>
        <v>#VALUE!</v>
      </c>
      <c r="CO5" s="20" t="e">
        <f>CO$73*([1]Electric!$F136+[1]Electric!$G136)/([1]Electric!$G$204)</f>
        <v>#VALUE!</v>
      </c>
      <c r="CP5" s="20">
        <f ca="1">CP4</f>
        <v>2.5201269305306275</v>
      </c>
      <c r="CQ5" s="20" t="e">
        <f>CQ4</f>
        <v>#REF!</v>
      </c>
      <c r="CR5" s="21" t="e">
        <f t="shared" ca="1" si="53"/>
        <v>#VALUE!</v>
      </c>
      <c r="CS5" s="20" t="e">
        <f>CS$73*([1]Electric!$F136+[1]Electric!$G136)/([1]Electric!$G$204)</f>
        <v>#VALUE!</v>
      </c>
      <c r="CT5" s="20">
        <f ca="1">IF(OR([1]Inputs!$F$168=3,[1]Inputs!$F$168=4,[1]Inputs!$F$168=5,[1]Inputs!$F$168=9),0,IF(AND([1]Inputs!$F$168=10,OR([1]Inputs!$F$167=3,[1]Inputs!$F$167=4,[1]Inputs!$F$167=5,[1]Inputs!$F$167=9)),0,CT4))</f>
        <v>2.5201269305306275</v>
      </c>
      <c r="CU5" s="22" t="e">
        <f>IF(OR([1]Inputs!$F$168=3,[1]Inputs!$F$168=4,[1]Inputs!$F$168=5,[1]Inputs!$F$168=9),0,IF(AND([1]Inputs!$F$168=10,OR([1]Inputs!$F$167=3,[1]Inputs!$F$167=4,[1]Inputs!$F$167=5,[1]Inputs!$F$167=9)),0,CU4))</f>
        <v>#REF!</v>
      </c>
      <c r="CV5" s="20" t="e">
        <f t="shared" ca="1" si="54"/>
        <v>#REF!</v>
      </c>
      <c r="CW5" s="20" t="e">
        <f>CW$73*([1]Electric!$F136+[1]Electric!$G136)/([1]Electric!$G$204)</f>
        <v>#VALUE!</v>
      </c>
      <c r="CX5" s="20" t="e">
        <f ca="1">CX4*($C$41*(1-$C$13)*[1]Fuel_Specs!#REF!/((1-$C$41)*(1-$C$13)*[1]Fuel_Specs!#REF!+$C$41*(1-$C$13)*[1]Fuel_Specs!#REF!+$C$13*[1]Fuel_Specs!#REF!)+(1-$C$41)*(1-$C$13)*[1]Fuel_Specs!#REF!/((1-$C$41)*(1-$C$13)*[1]Fuel_Specs!#REF!+$C$41*(1-$C$13)*[1]Fuel_Specs!#REF!+$C$13*[1]Fuel_Specs!#REF!)+IF(OR([1]Inputs!$F$169=3,[1]Inputs!$F$169=4,[1]Inputs!$F$169=5),0,$C$13*[1]Fuel_Specs!#REF!/((1-$C$41)*(1-$C$13)*[1]Fuel_Specs!#REF!+$C$41*(1-$C$13)*[1]Fuel_Specs!#REF!+$C$13*[1]Fuel_Specs!#REF!)))</f>
        <v>#REF!</v>
      </c>
      <c r="CY5" s="20" t="e">
        <f>CY4*($C$41*(1-$C$13)*[1]Fuel_Specs!#REF!/((1-$C$41)*(1-$C$13)*[1]Fuel_Specs!#REF!+$C$41*(1-$C$13)*[1]Fuel_Specs!#REF!+$C$13*[1]Fuel_Specs!#REF!)+(1-$C$41)*(1-$C$13)*[1]Fuel_Specs!#REF!/((1-$C$41)*(1-$C$13)*[1]Fuel_Specs!#REF!+$C$41*(1-$C$13)*[1]Fuel_Specs!#REF!+$C$13*[1]Fuel_Specs!#REF!)+IF(OR([1]Inputs!$F$169=3,[1]Inputs!$F$169=4,[1]Inputs!$F$169=5),0,$C$13*[1]Fuel_Specs!#REF!/((1-$C$41)*(1-$C$13)*[1]Fuel_Specs!#REF!+$C$41*(1-$C$13)*[1]Fuel_Specs!#REF!+$C$13*[1]Fuel_Specs!#REF!)))</f>
        <v>#REF!</v>
      </c>
      <c r="CZ5" s="21" t="e">
        <f t="shared" ca="1" si="55"/>
        <v>#REF!</v>
      </c>
      <c r="DA5" s="20" t="e">
        <f>DA$73*([1]Electric!$F136+[1]Electric!$G136)/([1]Electric!$G$204)</f>
        <v>#VALUE!</v>
      </c>
      <c r="DB5" s="20" t="e">
        <f ca="1">DB4*($C$42*(1-$C$14)*[1]Fuel_Specs!#REF!/((1-$C$42)*(1-$C$14)*[1]Fuel_Specs!#REF!+$C$42*(1-$C$14)*[1]Fuel_Specs!#REF!+$C$14*[1]Fuel_Specs!#REF!)+(1-$C$42)*(1-$C$14)*[1]Fuel_Specs!#REF!/((1-$C$42)*(1-$C$14)*[1]Fuel_Specs!#REF!+$C$42*(1-$C$14)*[1]Fuel_Specs!#REF!+$C$14*[1]Fuel_Specs!#REF!))</f>
        <v>#REF!</v>
      </c>
      <c r="DC5" s="22" t="e">
        <f>DC4*($C$42*(1-$C$14)*[1]Fuel_Specs!#REF!/((1-$C$42)*(1-$C$14)*[1]Fuel_Specs!#REF!+$C$42*(1-$C$14)*[1]Fuel_Specs!#REF!+$C$14*[1]Fuel_Specs!#REF!)+(1-$C$42)*(1-$C$14)*[1]Fuel_Specs!#REF!/((1-$C$42)*(1-$C$14)*[1]Fuel_Specs!#REF!+$C$42*(1-$C$14)*[1]Fuel_Specs!#REF!+$C$14*[1]Fuel_Specs!#REF!))</f>
        <v>#REF!</v>
      </c>
      <c r="DD5" s="20" t="e">
        <f t="shared" ca="1" si="56"/>
        <v>#REF!</v>
      </c>
      <c r="DE5" s="20" t="e">
        <f>DE$73*([1]Electric!$F136+[1]Electric!$G136)/([1]Electric!$G$204)</f>
        <v>#VALUE!</v>
      </c>
      <c r="DF5" s="20" t="e">
        <f ca="1">DF4*($C$43*(1-$C$15)*[1]Fuel_Specs!#REF!/((1-$C$43)*(1-$C$15)*[1]Fuel_Specs!#REF!+$C$43*(1-$C$15)*[1]Fuel_Specs!#REF!+$C$15*IF([1]Inputs!$E$755=1,[1]Fuel_Specs!#REF!,[1]Fuel_Specs!#REF!))+(1-$C$43)*(1-$C$15)*[1]Fuel_Specs!#REF!/((1-$C$43)*(1-$C$15)*[1]Fuel_Specs!#REF!+$C$43*(1-$C$15)*[1]Fuel_Specs!#REF!+$C$15*IF([1]Inputs!$E$755=1,[1]Fuel_Specs!#REF!,[1]Fuel_Specs!#REF!)))</f>
        <v>#REF!</v>
      </c>
      <c r="DG5" s="22" t="e">
        <f>DG4*($C$43*(1-$C$15)*[1]Fuel_Specs!#REF!/((1-$C$43)*(1-$C$15)*[1]Fuel_Specs!#REF!+$C$43*(1-$C$15)*[1]Fuel_Specs!#REF!+$C$15*IF([1]Inputs!$E$755=1,[1]Fuel_Specs!#REF!,[1]Fuel_Specs!#REF!))+(1-$C$43)*(1-$C$15)*[1]Fuel_Specs!#REF!/((1-$C$43)*(1-$C$15)*[1]Fuel_Specs!#REF!+$C$43*(1-$C$15)*[1]Fuel_Specs!#REF!+$C$15*IF([1]Inputs!$E$755=1,[1]Fuel_Specs!#REF!,[1]Fuel_Specs!#REF!)))</f>
        <v>#REF!</v>
      </c>
      <c r="DH5" s="20" t="e">
        <f t="shared" ca="1" si="57"/>
        <v>#REF!</v>
      </c>
      <c r="DI5" s="20" t="e">
        <f>DI$73*([1]Electric!$F136+[1]Electric!$G136)/([1]Electric!$G$204)</f>
        <v>#VALUE!</v>
      </c>
      <c r="DJ5" s="20" t="e">
        <f ca="1">DJ4*($C$44*(1-$C$17-$C$18)*[1]Fuel_Specs!#REF!+(1-$C$44)*(1-$C$17-$C$18)*[1]Fuel_Specs!#REF!+$C$18*[1]Fuel_Specs!$B$35)/($C$44*(1-$C$17-$C$18)*[1]Fuel_Specs!#REF!+(1-$C$44)*(1-$C$17-$C$18)*[1]Fuel_Specs!#REF!+$C$17*[1]Fuel_Specs!#REF!+$C$18*[1]Fuel_Specs!$B$35)</f>
        <v>#REF!</v>
      </c>
      <c r="DK5" s="20" t="e">
        <f>DK4*($C$44*(1-$C$17-$C$18)*[1]Fuel_Specs!#REF!+(1-$C$44)*(1-$C$17-$C$18)*[1]Fuel_Specs!#REF!+$C$18*[1]Fuel_Specs!$B$35)/($C$44*(1-$C$17-$C$18)*[1]Fuel_Specs!#REF!+(1-$C$44)*(1-$C$17-$C$18)*[1]Fuel_Specs!#REF!+$C$17*[1]Fuel_Specs!#REF!+$C$18*[1]Fuel_Specs!$B$35)</f>
        <v>#REF!</v>
      </c>
      <c r="DL5" s="21" t="e">
        <f>DL4*([1]Electric!$G$205)/([1]Electric!$G$204)</f>
        <v>#REF!</v>
      </c>
      <c r="DM5" s="20" t="e">
        <f>IF([1]Inputs!$E$324=6,DM4*[1]Hydrogen!$O$7*([1]Electric!$G$205)/([1]Electric!$G$204),IF(OR([1]Inputs!$E$324=4,[1]Inputs!$E$324=5),DM4*[1]Hydrogen!$O$7*0,DM4*[1]Hydrogen!$O$7))+DM4*0*([1]Hydrogen!$C$7+[1]Hydrogen!$D$7+[1]Hydrogen!$E$7+[1]Hydrogen!$G$7+[1]Hydrogen!$P$7)+DM4*[1]Hydrogen!$R$7*IF(OR([1]Inputs!$F$167=3,[1]Inputs!$F$167=4,[1]Inputs!$F$167=5), 0, 1)+DM4*(1-[1]Hydrogen!$O$7-[1]Hydrogen!$C$7-[1]Hydrogen!$D$7-[1]Hydrogen!$E$7-[1]Hydrogen!$G$7-[1]Hydrogen!$P$7-[1]Hydrogen!$R$7-[1]Hydrogen!$B$7*IF(OR([1]Inputs!$F$260=3,[1]Inputs!$F$260=4),1,0)-[1]Hydrogen!$N$7*IF(OR([1]Inputs!$F$261=3,[1]Inputs!$F$261=4),1,0))</f>
        <v>#REF!</v>
      </c>
      <c r="DN5" s="20" t="e">
        <f>IF(OR([1]Inputs!$F$324=6,[1]Inputs!$F$324=8,[1]Inputs!$F$324=9,[1]Inputs!$F$324=10),DN4*[1]Hydrogen!$O$8*([1]Electric!$G$205)/([1]Electric!$G$204),IF(OR([1]Inputs!$F$324=4,[1]Inputs!$F$324=5),DN4*[1]Hydrogen!$O$8*0,DN4*[1]Hydrogen!$O$8))+DN4*0*([1]Hydrogen!$C$8+[1]Hydrogen!$D$8+[1]Hydrogen!$E$8+[1]Hydrogen!$G$8+[1]Hydrogen!$P$8)+DN4*[1]Hydrogen!$R$8*IF(OR([1]Inputs!$F$167=3,[1]Inputs!$F$167=4,[1]Inputs!$F$167=5), 0, 1)+DN4*(1-[1]Hydrogen!$O$8-[1]Hydrogen!$C$8-[1]Hydrogen!$D$8-[1]Hydrogen!$E$8-[1]Hydrogen!$G$8-[1]Hydrogen!$P$8-[1]Hydrogen!$R$8-[1]Hydrogen!$B$8*IF(OR([1]Inputs!$G$260=3,[1]Inputs!$G$260=4),1,0)-[1]Hydrogen!$N$8*IF(OR([1]Inputs!$G$261=3,[1]Inputs!$G$261=4),1,0))</f>
        <v>#REF!</v>
      </c>
      <c r="DO5" s="20" t="e">
        <f>IF(OR([1]Inputs!$F$167=3,[1]Inputs!$F$167=4,[1]Inputs!$F$167=5,[1]Inputs!$F$167=9),0,DO4)</f>
        <v>#REF!</v>
      </c>
      <c r="DP5" s="20" t="e">
        <f>DP4*(1-IF([1]Petroleum!$C$10=1,[1]Petroleum!J89,IF([1]Petroleum!$C$10=2,[1]Petroleum!J90,IF([1]Petroleum!$C$10=3,[1]Petroleum!J91,IF([1]Petroleum!$C$10=4,[1]Petroleum!J92))))+IF([1]Petroleum!$C$10=1,[1]Petroleum!J89*[1]Petroleum!I162,IF([1]Petroleum!$C$10=2,[1]Petroleum!J90*[1]Petroleum!I163,IF([1]Petroleum!$C$10=3,[1]Petroleum!J91*[1]Petroleum!I164,IF([1]Petroleum!$C$10=4,[1]Petroleum!J92*[1]Petroleum!I165)))))</f>
        <v>#REF!</v>
      </c>
      <c r="DQ5" s="20" t="e">
        <f>DQ4*(1-IF([1]Petroleum!$D$10=1,[1]Petroleum!K89,IF([1]Petroleum!$D$10=2,[1]Petroleum!K90,IF([1]Petroleum!$D$10=3,[1]Petroleum!K91,IF([1]Petroleum!$D$10=4,[1]Petroleum!K92))))+IF([1]Petroleum!$D$10=1,[1]Petroleum!K89*[1]Petroleum!I162,IF([1]Petroleum!$D$10=2,[1]Petroleum!K90*[1]Petroleum!I163,IF([1]Petroleum!$D$10=3,[1]Petroleum!K91*[1]Petroleum!I164,IF([1]Petroleum!$D$10=4,[1]Petroleum!K92*[1]Petroleum!I165)))))</f>
        <v>#REF!</v>
      </c>
      <c r="DR5" s="20" t="e">
        <f>DR4</f>
        <v>#REF!</v>
      </c>
      <c r="DS5" s="20">
        <v>0</v>
      </c>
      <c r="DT5" s="20" t="e">
        <f>IF(OR([1]Inputs!$F$122=3,[1]Inputs!$F$122=4),0,DT4)</f>
        <v>#REF!</v>
      </c>
      <c r="DU5" s="20" t="e">
        <f>IF(OR([1]Inputs!$H$122=3,[1]Inputs!$H$122=4),0,DU4)</f>
        <v>#REF!</v>
      </c>
      <c r="DV5" s="20" t="e">
        <f>DV4*([1]NG!#REF!+[1]NG!#REF!)</f>
        <v>#REF!</v>
      </c>
      <c r="DW5" s="22" t="e">
        <f>DW4*IF(OR([1]Inputs!$F$170=3,[1]Inputs!$F$170=4), 0, 1)</f>
        <v>#REF!</v>
      </c>
      <c r="DX5" s="20" t="e">
        <f ca="1">DY5+DZ5</f>
        <v>#VALUE!</v>
      </c>
      <c r="DY5" s="20" t="e">
        <f>DY$73*([1]Electric!$F136+[1]Electric!$G136)/([1]Electric!$G$204)</f>
        <v>#VALUE!</v>
      </c>
      <c r="DZ5" s="20">
        <f ca="1">IF([1]Inputs!$E$324=6,DZ4*[1]Hydrogen!$O$7*([1]Electric!$G$205)/([1]Electric!$G$204),IF(OR([1]Inputs!$E$324=4,[1]Inputs!$E$324=5),DZ4*[1]Hydrogen!$O$7*0,DZ4*[1]Hydrogen!$O$7))+DZ4*0*([1]Hydrogen!$C$7+[1]Hydrogen!$D$7+[1]Hydrogen!$E$7+[1]Hydrogen!$G$7+[1]Hydrogen!$P$7)+DZ4*[1]Hydrogen!$R$7*IF(OR([1]Inputs!$F$167=3,[1]Inputs!$F$167=4,[1]Inputs!$F$167=5), 0, 1)+DZ4*(1-[1]Hydrogen!$O$7-[1]Hydrogen!$C$7-[1]Hydrogen!$D$7-[1]Hydrogen!$E$7-[1]Hydrogen!$G$7-[1]Hydrogen!$P$7-[1]Hydrogen!$R$7-[1]Hydrogen!$B$7*IF(OR([1]Inputs!$F$260=3,[1]Inputs!$F$260=4),1,0)-[1]Hydrogen!$N$7*IF(OR([1]Inputs!$F$261=3,[1]Inputs!$F$261=4),1,0))</f>
        <v>9.3220409288007013E-4</v>
      </c>
      <c r="EA5" s="22" t="e">
        <f>IF([1]Inputs!$E$324=6,EA4*[1]Hydrogen!$O$7*([1]Electric!$G$205)/([1]Electric!$G$204),IF(OR([1]Inputs!$E$324=4,[1]Inputs!$E$324=5),EA4*[1]Hydrogen!$O$7*0,EA4*[1]Hydrogen!$O$7))+EA4*0*([1]Hydrogen!$C$7+[1]Hydrogen!$D$7+[1]Hydrogen!$E$7+[1]Hydrogen!$G$7+[1]Hydrogen!$P$7)+EA4*[1]Hydrogen!$R$7*IF(OR([1]Inputs!$F$167=3,[1]Inputs!$F$167=4,[1]Inputs!$F$167=5), 0, 1)+EA4*(1-[1]Hydrogen!$O$7-[1]Hydrogen!$C$7-[1]Hydrogen!$D$7-[1]Hydrogen!$E$7-[1]Hydrogen!$G$7-[1]Hydrogen!$P$7-[1]Hydrogen!$R$7-[1]Hydrogen!$B$7*IF(OR([1]Inputs!$F$260=3,[1]Inputs!$F$260=4),1,0)-[1]Hydrogen!$N$7*IF(OR([1]Inputs!$F$261=3,[1]Inputs!$F$261=4),1,0))</f>
        <v>#REF!</v>
      </c>
      <c r="EB5" s="22" t="e">
        <f>EB4</f>
        <v>#REF!</v>
      </c>
      <c r="EC5" s="20" t="e">
        <f>EC4*($C$45*(1-$C$20)*[1]Fuel_Specs!#REF!/((1-$C$45)*(1-$C$20)*[1]Fuel_Specs!#REF!+$C$45*(1-$C$20)*[1]Fuel_Specs!#REF!+$C$20*[1]Fuel_Specs!#REF!)+(1-$C$45)*(1-$C$20)*[1]Fuel_Specs!#REF!/((1-$C$45)*(1-$C$20)*[1]Fuel_Specs!#REF!+$C$45*(1-$C$20)*[1]Fuel_Specs!#REF!+$C$20*[1]Fuel_Specs!#REF!))</f>
        <v>#REF!</v>
      </c>
      <c r="ED5" s="22" t="e">
        <f>ED4*($C$46*(1-$C$21)*[1]Fuel_Specs!#REF!/((1-$C$46)*(1-$C$21)*[1]Fuel_Specs!#REF!+$C$46*(1-$C$21)*[1]Fuel_Specs!#REF!+$C$21*[1]Fuel_Specs!#REF!)+(1-$C$46)*(1-$C$21)*[1]Fuel_Specs!#REF!/((1-$C$46)*(1-$C$21)*[1]Fuel_Specs!#REF!+$C$46*(1-$C$21)*[1]Fuel_Specs!#REF!+$C$21*[1]Fuel_Specs!#REF!))</f>
        <v>#REF!</v>
      </c>
      <c r="EE5" s="23" t="e">
        <f>EE4*($C$47*(1-$C$22)*[1]Fuel_Specs!#REF!/((1-$C$47)*(1-$C$22)*[1]Fuel_Specs!#REF!+$C$47*(1-$C$22)*[1]Fuel_Specs!#REF!+$C$22*[1]Fuel_Specs!#REF!)+(1-$C$47)*(1-$C$22)*[1]Fuel_Specs!#REF!/((1-$C$47)*(1-$C$22)*[1]Fuel_Specs!#REF!+$C$47*(1-$C$22)*[1]Fuel_Specs!#REF!+$C$22*[1]Fuel_Specs!#REF!))</f>
        <v>#REF!</v>
      </c>
    </row>
    <row r="6" spans="1:135" x14ac:dyDescent="0.25">
      <c r="A6" s="5" t="s">
        <v>123</v>
      </c>
      <c r="B6" s="20">
        <v>0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 t="e">
        <f>(I5-I8)*IF([1]Inputs!$F$167=6, 1, 0)</f>
        <v>#REF!</v>
      </c>
      <c r="J6" s="20" t="e">
        <f>(J5-J8)*IF([1]Inputs!$F$167=6, 1, 0)</f>
        <v>#REF!</v>
      </c>
      <c r="K6" s="20">
        <v>0</v>
      </c>
      <c r="L6" s="20">
        <v>0</v>
      </c>
      <c r="M6" s="20">
        <v>0</v>
      </c>
      <c r="N6" s="20" t="e">
        <f>IF([1]Inputs!$E$324=6,N4*[1]Hydrogen!$O$7*([1]Electric!$G$206)/([1]Electric!$G$204),IF([1]Inputs!$E$324=3,N4*[1]Hydrogen!$O$7,0))+N4*[1]Hydrogen!$F$7+N4*[1]Hydrogen!$R$7*IF([1]Inputs!$F$167=6, 1, 0)+N4*[1]Hydrogen!$J$7*IF([1]Inputs!$E$337=3, 0, 1)</f>
        <v>#REF!</v>
      </c>
      <c r="O6" s="20" t="e">
        <f>IF(OR([1]Inputs!$F$324=6,[1]Inputs!$F$324=8,[1]Inputs!$F$324=9,[1]Inputs!$F$324=10),O4*[1]Hydrogen!$O$8*([1]Electric!$G$206)/([1]Electric!$G$204),IF([1]Inputs!$F$324=3,O4*[1]Hydrogen!$O$8,0))+O4*[1]Hydrogen!$F$8+O4*[1]Hydrogen!$R$8*IF([1]Inputs!$F$167=6, 1, 0)+O4*[1]Hydrogen!$J$8*IF([1]Inputs!$F$337=3, 0, 1)</f>
        <v>#REF!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1">
        <v>0</v>
      </c>
      <c r="W6" s="20">
        <v>0</v>
      </c>
      <c r="X6" s="20">
        <v>0</v>
      </c>
      <c r="Y6" s="20" t="e">
        <f>(Y5-Y8)*IF([1]Inputs!$F$167=6, 1, 0)</f>
        <v>#REF!</v>
      </c>
      <c r="Z6" s="22">
        <v>0</v>
      </c>
      <c r="AA6" s="20">
        <v>0</v>
      </c>
      <c r="AB6" s="20" t="e">
        <f>AB5*IF([1]Inputs!$F$168=6,1,IF(AND([1]Inputs!$F$168=10,[1]Inputs!$F$167=6),1,0))</f>
        <v>#REF!</v>
      </c>
      <c r="AC6" s="20" t="e">
        <f>(AC5-AC8)*IF(OR([1]Inputs!$F$169=6,[1]Inputs!$F$169=7), 1, 0)</f>
        <v>#REF!</v>
      </c>
      <c r="AD6" s="20">
        <v>0</v>
      </c>
      <c r="AE6" s="20">
        <v>0</v>
      </c>
      <c r="AF6" s="20">
        <v>0</v>
      </c>
      <c r="AG6" s="20">
        <v>0</v>
      </c>
      <c r="AH6" s="21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 t="e">
        <f>(AO5-AO8)*IF([1]Inputs!$F$167=6, 1, 0)</f>
        <v>#REF!</v>
      </c>
      <c r="AP6" s="20">
        <v>0</v>
      </c>
      <c r="AQ6" s="20" t="e">
        <f>IF([1]Inputs!$E$324=6,AQ4*[1]Hydrogen!$O$7*([1]Electric!$G$206)/([1]Electric!$G$204),IF([1]Inputs!$E$324=3,AQ4*[1]Hydrogen!$O$7,0))+AQ4*[1]Hydrogen!$F$7+AQ4*[1]Hydrogen!$R$7*IF([1]Inputs!$F$167=6, 1, 0)+AQ4*[1]Hydrogen!$J$7*IF([1]Inputs!$E$337=3, 0, 1)</f>
        <v>#REF!</v>
      </c>
      <c r="AR6" s="22" t="e">
        <f>IF(OR([1]Inputs!$F$324=6,[1]Inputs!$F$324=8,[1]Inputs!$F$324=9,[1]Inputs!$F$324=10),AR4*[1]Hydrogen!$O$8*([1]Electric!$G$206)/([1]Electric!$G$204),IF([1]Inputs!$F$324=3,AR4*[1]Hydrogen!$O$8,0))+AR4*[1]Hydrogen!$F$8+AR4*[1]Hydrogen!$R$8*IF([1]Inputs!$F$167=6, 1, 0)+AR4*[1]Hydrogen!$J$8*IF([1]Inputs!$F$337=3, 0, 1)</f>
        <v>#REF!</v>
      </c>
      <c r="AS6" s="20">
        <f ca="1">AU6+AT6</f>
        <v>248.41211032910965</v>
      </c>
      <c r="AT6" s="20">
        <f ca="1">AT4*([1]Electric!$G$206)/([1]Electric!$G$204)</f>
        <v>248.41211032910965</v>
      </c>
      <c r="AU6" s="20">
        <v>0</v>
      </c>
      <c r="AV6" s="20">
        <v>0</v>
      </c>
      <c r="AW6" s="21">
        <f ca="1">AY6+AX6</f>
        <v>248.41211032910965</v>
      </c>
      <c r="AX6" s="20">
        <f ca="1">AX4*([1]Electric!$G$206)/([1]Electric!$G$204)</f>
        <v>248.41211032910965</v>
      </c>
      <c r="AY6" s="20">
        <v>0</v>
      </c>
      <c r="AZ6" s="22">
        <v>0</v>
      </c>
      <c r="BA6" s="21">
        <f t="shared" ca="1" si="58"/>
        <v>248.41211032910965</v>
      </c>
      <c r="BB6" s="20">
        <f ca="1">BB4*([1]Electric!$G$206)/([1]Electric!$G$204)</f>
        <v>248.41211032910965</v>
      </c>
      <c r="BC6" s="20">
        <v>0</v>
      </c>
      <c r="BD6" s="22">
        <v>0</v>
      </c>
      <c r="BE6" s="20" t="e">
        <f>BE4*([1]Electric!$G$206)/([1]Electric!$G$204)</f>
        <v>#REF!</v>
      </c>
      <c r="BF6" s="20">
        <f ca="1">BF4*([1]Electric!$G$206)/([1]Electric!$G$204)</f>
        <v>248.41211032910965</v>
      </c>
      <c r="BG6" s="20">
        <v>0</v>
      </c>
      <c r="BH6" s="20">
        <v>0</v>
      </c>
      <c r="BI6" s="21" t="e">
        <f>BI4*([1]Electric!$G$206)/([1]Electric!$G$204)</f>
        <v>#REF!</v>
      </c>
      <c r="BJ6" s="20">
        <f ca="1">BJ4*([1]Electric!$G$206)/([1]Electric!$G$204)</f>
        <v>248.41211032910965</v>
      </c>
      <c r="BK6" s="20">
        <v>0</v>
      </c>
      <c r="BL6" s="22">
        <v>0</v>
      </c>
      <c r="BM6" s="20" t="e">
        <f>BM4*([1]Electric!$G$206)/([1]Electric!$G$204)</f>
        <v>#REF!</v>
      </c>
      <c r="BN6" s="20">
        <f ca="1">BN4*([1]Electric!$G$206)/([1]Electric!$G$204)</f>
        <v>248.41211032910965</v>
      </c>
      <c r="BO6" s="20">
        <v>0</v>
      </c>
      <c r="BP6" s="20">
        <v>0</v>
      </c>
      <c r="BQ6" s="21" t="e">
        <f>BQ4*([1]Electric!$G$206)/([1]Electric!$G$204)</f>
        <v>#REF!</v>
      </c>
      <c r="BR6" s="20">
        <f ca="1">BR4*([1]Electric!$G$206)/([1]Electric!$G$204)</f>
        <v>248.41211032910965</v>
      </c>
      <c r="BS6" s="20">
        <v>0</v>
      </c>
      <c r="BT6" s="22">
        <v>0</v>
      </c>
      <c r="BU6" s="20" t="e">
        <f>BU4*([1]Electric!$G$206)/([1]Electric!$G$204)</f>
        <v>#REF!</v>
      </c>
      <c r="BV6" s="20">
        <f ca="1">BV4*([1]Electric!$G$206)/([1]Electric!$G$204)</f>
        <v>248.41211032910965</v>
      </c>
      <c r="BW6" s="20" t="e">
        <f ca="1">(BW5-BW8)*IF([1]Inputs!$F$167=6, 1, 0)</f>
        <v>#REF!</v>
      </c>
      <c r="BX6" s="20" t="e">
        <f>(BX5-BX8)*IF([1]Inputs!$F$167=6, 1, 0)</f>
        <v>#REF!</v>
      </c>
      <c r="BY6" s="21">
        <f>CA6+BZ6</f>
        <v>0</v>
      </c>
      <c r="BZ6" s="20">
        <f>BZ$73*([1]Electric!$F137+[1]Electric!$G137)/([1]Electric!$G$204)</f>
        <v>0</v>
      </c>
      <c r="CA6" s="20">
        <v>0</v>
      </c>
      <c r="CB6" s="22">
        <v>0</v>
      </c>
      <c r="CC6" s="20">
        <f ca="1">CE6+CD6</f>
        <v>0</v>
      </c>
      <c r="CD6" s="20">
        <f>CD$73*([1]Electric!$F137+[1]Electric!$G137)/([1]Electric!$G$204)</f>
        <v>0</v>
      </c>
      <c r="CE6" s="20">
        <f ca="1">IF([1]Inputs!$E$324=6,CE4*[1]Hydrogen!$O$7*([1]Electric!$G$206)/([1]Electric!$G$204),IF([1]Inputs!$E$324=3,CE4*[1]Hydrogen!$O$7,0))+CE4*[1]Hydrogen!$F$7+CE4*[1]Hydrogen!$R$7*IF([1]Inputs!$F$167=6, 1, 0)+CE4*[1]Hydrogen!$J$7*IF([1]Inputs!$E$337=3, 0, 1)</f>
        <v>0</v>
      </c>
      <c r="CF6" s="20" t="e">
        <f>IF([1]Inputs!$E$324=6,CF4*[1]Hydrogen!$O$7*([1]Electric!$G$206)/([1]Electric!$G$204),IF([1]Inputs!$E$324=3,CF4*[1]Hydrogen!$O$7,0))+CF4*[1]Hydrogen!$F$7+CF4*[1]Hydrogen!$R$7*IF([1]Inputs!$F$167=6, 1, 0)+CF4*[1]Hydrogen!$J$7*IF([1]Inputs!$E$337=3, 0, 1)</f>
        <v>#REF!</v>
      </c>
      <c r="CG6" s="20" t="e">
        <f>IF(OR([1]Inputs!$F$324=6,[1]Inputs!$F$324=8,[1]Inputs!$F$324=9,[1]Inputs!$F$324=10),CG4*[1]Hydrogen!$O$8*([1]Electric!$G$206)/([1]Electric!$G$204),IF([1]Inputs!$F$324=3,CG4*[1]Hydrogen!$O$8,0))+CG4*[1]Hydrogen!$F$8+CG4*[1]Hydrogen!$R$8*IF([1]Inputs!$F$167=6, 1, 0)+CG4*[1]Hydrogen!$J$8*IF([1]Inputs!$F$337=3, 0, 1)</f>
        <v>#REF!</v>
      </c>
      <c r="CH6" s="21">
        <v>0</v>
      </c>
      <c r="CI6" s="20" t="e">
        <f>CI5*IF([1]Inputs!$F$168=6,1,IF(AND([1]Inputs!$F$168=10,[1]Inputs!$F$167=6),1,0))</f>
        <v>#REF!</v>
      </c>
      <c r="CJ6" s="20" t="e">
        <f>(CJ5-CJ8)*IF([1]Inputs!$F$169=6, 1, 0)</f>
        <v>#REF!</v>
      </c>
      <c r="CK6" s="20">
        <v>0</v>
      </c>
      <c r="CL6" s="20">
        <v>0</v>
      </c>
      <c r="CM6" s="22">
        <v>0</v>
      </c>
      <c r="CN6" s="20">
        <f>CP6+CO6</f>
        <v>0</v>
      </c>
      <c r="CO6" s="20">
        <f>CO$73*([1]Electric!$F137+[1]Electric!$G137)/([1]Electric!$G$204)</f>
        <v>0</v>
      </c>
      <c r="CP6" s="20">
        <v>0</v>
      </c>
      <c r="CQ6" s="20">
        <v>0</v>
      </c>
      <c r="CR6" s="21">
        <f t="shared" ca="1" si="53"/>
        <v>0</v>
      </c>
      <c r="CS6" s="20">
        <f>CS$73*([1]Electric!$F137+[1]Electric!$G137)/([1]Electric!$G$204)</f>
        <v>0</v>
      </c>
      <c r="CT6" s="20">
        <f ca="1">CT5*IF([1]Inputs!$F$168=6,1,IF(AND([1]Inputs!$F$168=10,[1]Inputs!$F$167=6),1,0))</f>
        <v>0</v>
      </c>
      <c r="CU6" s="22" t="e">
        <f>CU5*IF([1]Inputs!$F$168=6,1,IF(AND([1]Inputs!$F$168=10,[1]Inputs!$F$167=6),1,0))</f>
        <v>#REF!</v>
      </c>
      <c r="CV6" s="20" t="e">
        <f t="shared" ca="1" si="54"/>
        <v>#REF!</v>
      </c>
      <c r="CW6" s="20">
        <f>CW$73*([1]Electric!$F137+[1]Electric!$G137)/([1]Electric!$G$204)</f>
        <v>0</v>
      </c>
      <c r="CX6" s="20" t="e">
        <f ca="1">(CX5-CX8)*IF([1]Inputs!$F$169=6, 1, 0)</f>
        <v>#REF!</v>
      </c>
      <c r="CY6" s="20" t="e">
        <f>(CY5-CY8)*IF([1]Inputs!$F$169=6, 1, 0)</f>
        <v>#REF!</v>
      </c>
      <c r="CZ6" s="21">
        <f t="shared" si="55"/>
        <v>0</v>
      </c>
      <c r="DA6" s="20">
        <f>DA$73*([1]Electric!$F137+[1]Electric!$G137)/([1]Electric!$G$204)</f>
        <v>0</v>
      </c>
      <c r="DB6" s="20">
        <v>0</v>
      </c>
      <c r="DC6" s="22">
        <v>0</v>
      </c>
      <c r="DD6" s="20">
        <f t="shared" si="56"/>
        <v>0</v>
      </c>
      <c r="DE6" s="20">
        <f>DE$73*([1]Electric!$F137+[1]Electric!$G137)/([1]Electric!$G$204)</f>
        <v>0</v>
      </c>
      <c r="DF6" s="20">
        <v>0</v>
      </c>
      <c r="DG6" s="22">
        <v>0</v>
      </c>
      <c r="DH6" s="20">
        <f t="shared" si="57"/>
        <v>0</v>
      </c>
      <c r="DI6" s="20">
        <f>DI$73*([1]Electric!$F137+[1]Electric!$G137)/([1]Electric!$G$204)</f>
        <v>0</v>
      </c>
      <c r="DJ6" s="20">
        <v>0</v>
      </c>
      <c r="DK6" s="20">
        <v>0</v>
      </c>
      <c r="DL6" s="21" t="e">
        <f>DL4*([1]Electric!$G$206)/([1]Electric!$G$204)</f>
        <v>#REF!</v>
      </c>
      <c r="DM6" s="20" t="e">
        <f>IF([1]Inputs!$E$324=6,DM4*[1]Hydrogen!$O$7*([1]Electric!$G$206)/([1]Electric!$G$204),IF([1]Inputs!$E$324=3,DM4*[1]Hydrogen!$O$7,0))+DM4*[1]Hydrogen!$F$7+DM4*[1]Hydrogen!$R$7*IF([1]Inputs!$F$167=6, 1, 0)+DM4*[1]Hydrogen!$J$7*IF([1]Inputs!$E$337=3, 0, 1)</f>
        <v>#REF!</v>
      </c>
      <c r="DN6" s="20" t="e">
        <f>IF(OR([1]Inputs!$F$324=6,[1]Inputs!$F$324=8,[1]Inputs!$F$324=9,[1]Inputs!$F$324=10),DN4*[1]Hydrogen!$O$8*([1]Electric!$G$206)/([1]Electric!$G$204),IF([1]Inputs!$F$324=3,DN4*[1]Hydrogen!$O$8,0))+DN4*[1]Hydrogen!$F$8+DN4*[1]Hydrogen!$R$8*IF([1]Inputs!$F$167=6, 1, 0)+DN4*[1]Hydrogen!$J$8*IF([1]Inputs!$F$337=3, 0, 1)</f>
        <v>#REF!</v>
      </c>
      <c r="DO6" s="20" t="e">
        <f>DO5*IF([1]Inputs!$F$167=6, 1, 0)</f>
        <v>#REF!</v>
      </c>
      <c r="DP6" s="20">
        <v>0</v>
      </c>
      <c r="DQ6" s="20">
        <v>0</v>
      </c>
      <c r="DR6" s="20">
        <v>0</v>
      </c>
      <c r="DS6" s="20">
        <v>0</v>
      </c>
      <c r="DT6" s="20">
        <v>0</v>
      </c>
      <c r="DU6" s="20">
        <v>0</v>
      </c>
      <c r="DV6" s="20">
        <v>0</v>
      </c>
      <c r="DW6" s="22" t="e">
        <f>DW5*IF([1]Inputs!$F$170=6, 1, 0)</f>
        <v>#REF!</v>
      </c>
      <c r="DX6" s="20">
        <f ca="1">DY6+DZ6</f>
        <v>0</v>
      </c>
      <c r="DY6" s="20">
        <f>DY$73*([1]Electric!$F137+[1]Electric!$G137)/([1]Electric!$G$204)</f>
        <v>0</v>
      </c>
      <c r="DZ6" s="20">
        <f ca="1">IF([1]Inputs!$E$324=6,DZ4*[1]Hydrogen!$O$7*([1]Electric!$G$206)/([1]Electric!$G$204),IF([1]Inputs!$E$324=3,DZ4*[1]Hydrogen!$O$7,0))+DZ4*[1]Hydrogen!$F$7+DZ4*[1]Hydrogen!$R$7*IF([1]Inputs!$F$167=6, 1, 0)+DZ4*[1]Hydrogen!$J$7*IF([1]Inputs!$E$337=3, 0, 1)</f>
        <v>0</v>
      </c>
      <c r="EA6" s="22" t="e">
        <f>IF([1]Inputs!$E$324=6,EA4*[1]Hydrogen!$O$7*([1]Electric!$G$206)/([1]Electric!$G$204),IF([1]Inputs!$E$324=3,EA4*[1]Hydrogen!$O$7,0))+EA4*[1]Hydrogen!$F$7+EA4*[1]Hydrogen!$R$7*IF([1]Inputs!$F$167=6, 1, 0)+EA4*[1]Hydrogen!$J$7*IF([1]Inputs!$E$337=3, 0, 1)</f>
        <v>#REF!</v>
      </c>
      <c r="EB6" s="22">
        <v>0</v>
      </c>
      <c r="EC6" s="20">
        <v>0</v>
      </c>
      <c r="ED6" s="22">
        <v>0</v>
      </c>
      <c r="EE6" s="23">
        <v>0</v>
      </c>
    </row>
    <row r="7" spans="1:135" x14ac:dyDescent="0.25">
      <c r="A7" s="5" t="s">
        <v>124</v>
      </c>
      <c r="B7" s="20" t="e">
        <f t="shared" ref="B7:BM7" si="59">B5-B6-B8</f>
        <v>#REF!</v>
      </c>
      <c r="C7" s="20" t="e">
        <f t="shared" si="59"/>
        <v>#REF!</v>
      </c>
      <c r="D7" s="20" t="e">
        <f t="shared" si="59"/>
        <v>#REF!</v>
      </c>
      <c r="E7" s="20" t="e">
        <f t="shared" si="59"/>
        <v>#REF!</v>
      </c>
      <c r="F7" s="20" t="e">
        <f t="shared" si="59"/>
        <v>#REF!</v>
      </c>
      <c r="G7" s="20" t="e">
        <f t="shared" si="59"/>
        <v>#REF!</v>
      </c>
      <c r="H7" s="20" t="e">
        <f t="shared" si="59"/>
        <v>#REF!</v>
      </c>
      <c r="I7" s="20" t="e">
        <f t="shared" si="59"/>
        <v>#REF!</v>
      </c>
      <c r="J7" s="20" t="e">
        <f t="shared" si="59"/>
        <v>#REF!</v>
      </c>
      <c r="K7" s="20" t="e">
        <f t="shared" si="59"/>
        <v>#REF!</v>
      </c>
      <c r="L7" s="20" t="e">
        <f t="shared" si="59"/>
        <v>#REF!</v>
      </c>
      <c r="M7" s="20" t="e">
        <f t="shared" si="59"/>
        <v>#REF!</v>
      </c>
      <c r="N7" s="20" t="e">
        <f t="shared" si="59"/>
        <v>#REF!</v>
      </c>
      <c r="O7" s="20" t="e">
        <f>O5-O6-O8</f>
        <v>#REF!</v>
      </c>
      <c r="P7" s="20" t="e">
        <f>P5-P6-P8</f>
        <v>#REF!</v>
      </c>
      <c r="Q7" s="20">
        <v>0</v>
      </c>
      <c r="R7" s="20">
        <v>0</v>
      </c>
      <c r="S7" s="20" t="e">
        <f t="shared" ref="S7:U7" si="60">S5-S6-S8</f>
        <v>#REF!</v>
      </c>
      <c r="T7" s="20" t="e">
        <f t="shared" si="60"/>
        <v>#REF!</v>
      </c>
      <c r="U7" s="20" t="e">
        <f t="shared" si="60"/>
        <v>#REF!</v>
      </c>
      <c r="V7" s="21" t="e">
        <f t="shared" si="59"/>
        <v>#REF!</v>
      </c>
      <c r="W7" s="20" t="e">
        <f t="shared" si="59"/>
        <v>#REF!</v>
      </c>
      <c r="X7" s="20" t="e">
        <f t="shared" si="59"/>
        <v>#REF!</v>
      </c>
      <c r="Y7" s="20" t="e">
        <f t="shared" si="59"/>
        <v>#REF!</v>
      </c>
      <c r="Z7" s="22" t="e">
        <f t="shared" si="59"/>
        <v>#REF!</v>
      </c>
      <c r="AA7" s="20" t="e">
        <f t="shared" si="59"/>
        <v>#REF!</v>
      </c>
      <c r="AB7" s="20" t="e">
        <f t="shared" si="59"/>
        <v>#REF!</v>
      </c>
      <c r="AC7" s="20" t="e">
        <f t="shared" si="59"/>
        <v>#REF!</v>
      </c>
      <c r="AD7" s="20" t="e">
        <f t="shared" si="59"/>
        <v>#REF!</v>
      </c>
      <c r="AE7" s="20" t="e">
        <f t="shared" si="59"/>
        <v>#REF!</v>
      </c>
      <c r="AF7" s="20" t="e">
        <f t="shared" si="59"/>
        <v>#REF!</v>
      </c>
      <c r="AG7" s="20" t="e">
        <f t="shared" si="59"/>
        <v>#REF!</v>
      </c>
      <c r="AH7" s="21" t="e">
        <f t="shared" si="59"/>
        <v>#REF!</v>
      </c>
      <c r="AI7" s="20" t="e">
        <f t="shared" si="59"/>
        <v>#REF!</v>
      </c>
      <c r="AJ7" s="20" t="e">
        <f t="shared" si="59"/>
        <v>#REF!</v>
      </c>
      <c r="AK7" s="20" t="e">
        <f t="shared" si="59"/>
        <v>#REF!</v>
      </c>
      <c r="AL7" s="20" t="e">
        <f t="shared" si="59"/>
        <v>#REF!</v>
      </c>
      <c r="AM7" s="20" t="e">
        <f t="shared" si="59"/>
        <v>#REF!</v>
      </c>
      <c r="AN7" s="20" t="e">
        <f t="shared" si="59"/>
        <v>#REF!</v>
      </c>
      <c r="AO7" s="20" t="e">
        <f t="shared" si="59"/>
        <v>#REF!</v>
      </c>
      <c r="AP7" s="20" t="e">
        <f t="shared" si="59"/>
        <v>#REF!</v>
      </c>
      <c r="AQ7" s="20" t="e">
        <f t="shared" si="59"/>
        <v>#REF!</v>
      </c>
      <c r="AR7" s="22" t="e">
        <f t="shared" si="59"/>
        <v>#REF!</v>
      </c>
      <c r="AS7" s="20" t="e">
        <f t="shared" ca="1" si="59"/>
        <v>#REF!</v>
      </c>
      <c r="AT7" s="20">
        <f t="shared" ca="1" si="59"/>
        <v>522.80650618354582</v>
      </c>
      <c r="AU7" s="20" t="e">
        <f t="shared" ca="1" si="59"/>
        <v>#REF!</v>
      </c>
      <c r="AV7" s="20" t="e">
        <f t="shared" si="59"/>
        <v>#REF!</v>
      </c>
      <c r="AW7" s="21">
        <f t="shared" ca="1" si="59"/>
        <v>522.80650618354582</v>
      </c>
      <c r="AX7" s="20">
        <f t="shared" ca="1" si="59"/>
        <v>522.80650618354582</v>
      </c>
      <c r="AY7" s="20">
        <f t="shared" ca="1" si="59"/>
        <v>0</v>
      </c>
      <c r="AZ7" s="22" t="e">
        <f t="shared" si="59"/>
        <v>#REF!</v>
      </c>
      <c r="BA7" s="21" t="e">
        <f ca="1">BA5-BA6-BA8</f>
        <v>#REF!</v>
      </c>
      <c r="BB7" s="20">
        <f ca="1">BB5-BB6-BB8</f>
        <v>522.80650618354582</v>
      </c>
      <c r="BC7" s="20" t="e">
        <f t="shared" ca="1" si="59"/>
        <v>#REF!</v>
      </c>
      <c r="BD7" s="22" t="e">
        <f t="shared" si="59"/>
        <v>#REF!</v>
      </c>
      <c r="BE7" s="20" t="e">
        <f t="shared" si="59"/>
        <v>#REF!</v>
      </c>
      <c r="BF7" s="20">
        <f t="shared" ca="1" si="59"/>
        <v>522.80650618354582</v>
      </c>
      <c r="BG7" s="20" t="e">
        <f t="shared" ca="1" si="59"/>
        <v>#REF!</v>
      </c>
      <c r="BH7" s="20" t="e">
        <f t="shared" si="59"/>
        <v>#REF!</v>
      </c>
      <c r="BI7" s="21" t="e">
        <f t="shared" si="59"/>
        <v>#REF!</v>
      </c>
      <c r="BJ7" s="20">
        <f t="shared" ca="1" si="59"/>
        <v>522.80650618354582</v>
      </c>
      <c r="BK7" s="20">
        <f t="shared" ca="1" si="59"/>
        <v>2.4978238792726519</v>
      </c>
      <c r="BL7" s="22" t="e">
        <f t="shared" si="59"/>
        <v>#REF!</v>
      </c>
      <c r="BM7" s="20" t="e">
        <f t="shared" si="59"/>
        <v>#REF!</v>
      </c>
      <c r="BN7" s="20">
        <f t="shared" ref="BN7:DW7" ca="1" si="61">BN5-BN6-BN8</f>
        <v>522.80650618354582</v>
      </c>
      <c r="BO7" s="20">
        <f t="shared" ca="1" si="61"/>
        <v>2.4978238792726519</v>
      </c>
      <c r="BP7" s="20" t="e">
        <f t="shared" si="61"/>
        <v>#REF!</v>
      </c>
      <c r="BQ7" s="21" t="e">
        <f t="shared" si="61"/>
        <v>#REF!</v>
      </c>
      <c r="BR7" s="20">
        <f t="shared" ca="1" si="61"/>
        <v>522.80650618354582</v>
      </c>
      <c r="BS7" s="20" t="e">
        <f t="shared" ca="1" si="61"/>
        <v>#REF!</v>
      </c>
      <c r="BT7" s="22" t="e">
        <f t="shared" si="61"/>
        <v>#REF!</v>
      </c>
      <c r="BU7" s="20" t="e">
        <f t="shared" si="61"/>
        <v>#REF!</v>
      </c>
      <c r="BV7" s="20">
        <f t="shared" ca="1" si="61"/>
        <v>522.80650618354582</v>
      </c>
      <c r="BW7" s="20" t="e">
        <f t="shared" ca="1" si="61"/>
        <v>#REF!</v>
      </c>
      <c r="BX7" s="20" t="e">
        <f t="shared" si="61"/>
        <v>#REF!</v>
      </c>
      <c r="BY7" s="21" t="e">
        <f t="shared" ca="1" si="61"/>
        <v>#REF!</v>
      </c>
      <c r="BZ7" s="20" t="e">
        <f t="shared" si="61"/>
        <v>#VALUE!</v>
      </c>
      <c r="CA7" s="20" t="e">
        <f t="shared" ca="1" si="61"/>
        <v>#REF!</v>
      </c>
      <c r="CB7" s="22" t="e">
        <f t="shared" si="61"/>
        <v>#REF!</v>
      </c>
      <c r="CC7" s="20" t="e">
        <f t="shared" ca="1" si="61"/>
        <v>#VALUE!</v>
      </c>
      <c r="CD7" s="20" t="e">
        <f t="shared" si="61"/>
        <v>#VALUE!</v>
      </c>
      <c r="CE7" s="20">
        <f t="shared" ca="1" si="61"/>
        <v>2.4978238792726519</v>
      </c>
      <c r="CF7" s="20" t="e">
        <f t="shared" si="61"/>
        <v>#REF!</v>
      </c>
      <c r="CG7" s="20" t="e">
        <f t="shared" si="61"/>
        <v>#REF!</v>
      </c>
      <c r="CH7" s="21" t="e">
        <f t="shared" si="61"/>
        <v>#REF!</v>
      </c>
      <c r="CI7" s="20" t="e">
        <f t="shared" si="61"/>
        <v>#REF!</v>
      </c>
      <c r="CJ7" s="20" t="e">
        <f t="shared" si="61"/>
        <v>#REF!</v>
      </c>
      <c r="CK7" s="20" t="e">
        <f t="shared" si="61"/>
        <v>#REF!</v>
      </c>
      <c r="CL7" s="20" t="e">
        <f t="shared" si="61"/>
        <v>#REF!</v>
      </c>
      <c r="CM7" s="22" t="e">
        <f t="shared" si="61"/>
        <v>#REF!</v>
      </c>
      <c r="CN7" s="20" t="e">
        <f t="shared" ca="1" si="61"/>
        <v>#VALUE!</v>
      </c>
      <c r="CO7" s="20" t="e">
        <f t="shared" si="61"/>
        <v>#VALUE!</v>
      </c>
      <c r="CP7" s="20">
        <f t="shared" ca="1" si="61"/>
        <v>0</v>
      </c>
      <c r="CQ7" s="20" t="e">
        <f t="shared" si="61"/>
        <v>#REF!</v>
      </c>
      <c r="CR7" s="21" t="e">
        <f t="shared" ca="1" si="53"/>
        <v>#VALUE!</v>
      </c>
      <c r="CS7" s="20" t="e">
        <f t="shared" si="61"/>
        <v>#VALUE!</v>
      </c>
      <c r="CT7" s="20">
        <f t="shared" ca="1" si="61"/>
        <v>2.5201269305306275</v>
      </c>
      <c r="CU7" s="22" t="e">
        <f t="shared" si="61"/>
        <v>#REF!</v>
      </c>
      <c r="CV7" s="20" t="e">
        <f t="shared" ca="1" si="54"/>
        <v>#REF!</v>
      </c>
      <c r="CW7" s="20" t="e">
        <f t="shared" si="61"/>
        <v>#VALUE!</v>
      </c>
      <c r="CX7" s="20" t="e">
        <f t="shared" ca="1" si="61"/>
        <v>#REF!</v>
      </c>
      <c r="CY7" s="20" t="e">
        <f t="shared" si="61"/>
        <v>#REF!</v>
      </c>
      <c r="CZ7" s="21" t="e">
        <f t="shared" ca="1" si="55"/>
        <v>#REF!</v>
      </c>
      <c r="DA7" s="20" t="e">
        <f t="shared" si="61"/>
        <v>#VALUE!</v>
      </c>
      <c r="DB7" s="20" t="e">
        <f t="shared" ca="1" si="61"/>
        <v>#REF!</v>
      </c>
      <c r="DC7" s="22" t="e">
        <f t="shared" si="61"/>
        <v>#REF!</v>
      </c>
      <c r="DD7" s="20" t="e">
        <f t="shared" ca="1" si="56"/>
        <v>#REF!</v>
      </c>
      <c r="DE7" s="20" t="e">
        <f t="shared" si="61"/>
        <v>#VALUE!</v>
      </c>
      <c r="DF7" s="20" t="e">
        <f t="shared" ca="1" si="61"/>
        <v>#REF!</v>
      </c>
      <c r="DG7" s="22" t="e">
        <f t="shared" si="61"/>
        <v>#REF!</v>
      </c>
      <c r="DH7" s="20" t="e">
        <f t="shared" ca="1" si="57"/>
        <v>#REF!</v>
      </c>
      <c r="DI7" s="20" t="e">
        <f t="shared" si="61"/>
        <v>#VALUE!</v>
      </c>
      <c r="DJ7" s="20" t="e">
        <f t="shared" ca="1" si="61"/>
        <v>#REF!</v>
      </c>
      <c r="DK7" s="20" t="e">
        <f t="shared" si="61"/>
        <v>#REF!</v>
      </c>
      <c r="DL7" s="21" t="e">
        <f t="shared" si="61"/>
        <v>#REF!</v>
      </c>
      <c r="DM7" s="20" t="e">
        <f t="shared" si="61"/>
        <v>#REF!</v>
      </c>
      <c r="DN7" s="20" t="e">
        <f t="shared" si="61"/>
        <v>#REF!</v>
      </c>
      <c r="DO7" s="20" t="e">
        <f t="shared" si="61"/>
        <v>#REF!</v>
      </c>
      <c r="DP7" s="20" t="e">
        <f t="shared" si="61"/>
        <v>#REF!</v>
      </c>
      <c r="DQ7" s="20" t="e">
        <f t="shared" si="61"/>
        <v>#REF!</v>
      </c>
      <c r="DR7" s="20" t="e">
        <f t="shared" si="61"/>
        <v>#REF!</v>
      </c>
      <c r="DS7" s="20">
        <f t="shared" si="61"/>
        <v>0</v>
      </c>
      <c r="DT7" s="20" t="e">
        <f t="shared" si="61"/>
        <v>#REF!</v>
      </c>
      <c r="DU7" s="20" t="e">
        <f t="shared" si="61"/>
        <v>#REF!</v>
      </c>
      <c r="DV7" s="20" t="e">
        <f t="shared" si="61"/>
        <v>#REF!</v>
      </c>
      <c r="DW7" s="22" t="e">
        <f t="shared" si="61"/>
        <v>#REF!</v>
      </c>
      <c r="DX7" s="20" t="e">
        <f ca="1">DY7+DZ7</f>
        <v>#VALUE!</v>
      </c>
      <c r="DY7" s="20" t="e">
        <f>DY5-DY6-DY8</f>
        <v>#VALUE!</v>
      </c>
      <c r="DZ7" s="20">
        <f ca="1">DZ5-DZ6-DZ8</f>
        <v>9.3220409288007013E-4</v>
      </c>
      <c r="EA7" s="22" t="e">
        <f>EA5-EA6-EA8</f>
        <v>#REF!</v>
      </c>
      <c r="EB7" s="22" t="e">
        <f t="shared" ref="EB7" si="62">EB5-EB6-EB8</f>
        <v>#REF!</v>
      </c>
      <c r="EC7" s="20">
        <v>0</v>
      </c>
      <c r="ED7" s="22">
        <v>0</v>
      </c>
      <c r="EE7" s="23">
        <v>0</v>
      </c>
    </row>
    <row r="8" spans="1:135" x14ac:dyDescent="0.25">
      <c r="A8" s="24" t="s">
        <v>125</v>
      </c>
      <c r="B8" s="25" t="e">
        <f>([1]Inputs!$E$96*[1]Fuel_Specs!#REF!/B3)*(1-IF([1]Petroleum!$C$10=1,[1]Petroleum!J89,IF([1]Petroleum!$C$10=2,[1]Petroleum!J90,IF([1]Petroleum!$C$10=3,[1]Petroleum!J91,IF([1]Petroleum!$C$10=4,[1]Petroleum!J92))))+IF([1]Petroleum!$C$10=1,[1]Petroleum!J89*[1]Petroleum!H162,IF([1]Petroleum!$C$10=2,[1]Petroleum!J90*[1]Petroleum!H163,IF([1]Petroleum!$C$10=3,[1]Petroleum!J91*[1]Petroleum!H164,IF([1]Petroleum!$C$10=4,[1]Petroleum!J92*[1]Petroleum!H165)))))+((1-[1]Inputs!$E$96)*[1]Fuel_Specs!#REF!/B3)*(1-IF([1]Petroleum!$B$10=1,[1]Petroleum!I89,IF([1]Petroleum!$B$10=2,[1]Petroleum!I90,IF([1]Petroleum!$B$10=3,[1]Petroleum!I91,IF([1]Petroleum!$B$10=4,[1]Petroleum!I92))))+IF([1]Petroleum!$B$10=1,[1]Petroleum!I89*[1]Petroleum!H161,IF([1]Petroleum!$B$10=2,[1]Petroleum!I90*[1]Petroleum!H163,IF([1]Petroleum!$B$10=3,[1]Petroleum!I91*[1]Petroleum!H164,IF([1]Petroleum!$B$10=4,[1]Petroleum!I92*[1]Petroleum!H165)))))</f>
        <v>#REF!</v>
      </c>
      <c r="C8" s="25" t="e">
        <f>C4*(1-IF([1]Petroleum!$D$10=1,[1]Petroleum!K89,IF([1]Petroleum!$D$10=2,[1]Petroleum!K90,IF([1]Petroleum!$D$10=3,[1]Petroleum!K91,IF([1]Petroleum!$D$10=4,[1]Petroleum!K92))))+IF([1]Petroleum!$D$10=1,[1]Petroleum!K89*[1]Petroleum!H162,IF([1]Petroleum!$D$10=2,[1]Petroleum!K90*[1]Petroleum!H163,IF([1]Petroleum!$D$10=3,[1]Petroleum!K91*[1]Petroleum!H164,IF([1]Petroleum!$D$10=4,[1]Petroleum!K92*[1]Petroleum!H165)))))</f>
        <v>#REF!</v>
      </c>
      <c r="D8" s="25" t="e">
        <f>D5</f>
        <v>#REF!</v>
      </c>
      <c r="E8" s="25">
        <v>0</v>
      </c>
      <c r="F8" s="25">
        <v>0</v>
      </c>
      <c r="G8" s="25">
        <v>0</v>
      </c>
      <c r="H8" s="25" t="e">
        <f>H4*[1]NG!#REF!</f>
        <v>#REF!</v>
      </c>
      <c r="I8" s="25" t="e">
        <f>I4*(1-$C$34)*(1-$C$5)*[1]Fuel_Specs!#REF!/((1-$C$34)*(1-$C$5)*[1]Fuel_Specs!#REF!+$C$34*(1-$C$5)*[1]Fuel_Specs!#REF!+$C$5*[1]Fuel_Specs!#REF!)+I4*$C$34*(1-$C$5)*[1]Fuel_Specs!#REF!/((1-$C$34)*(1-$C$5)*[1]Fuel_Specs!#REF!+$C$34*(1-$C$5)*[1]Fuel_Specs!#REF!+$C$5*[1]Fuel_Specs!#REF!)</f>
        <v>#REF!</v>
      </c>
      <c r="J8" s="25" t="e">
        <f>J4*$C$34*(1-$C$6)*[1]Fuel_Specs!#REF!/((1-$C$34)*(1-$C$6)*[1]Fuel_Specs!#REF!+$C$34*(1-$C$6)*[1]Fuel_Specs!#REF!+$C$6*[1]Fuel_Specs!#REF!)+J4*(1-$C$34)*(1-$C$6)*[1]Fuel_Specs!#REF!/((1-$C$34)*(1-$C$6)*[1]Fuel_Specs!#REF!+$C$34*(1-$C$6)*[1]Fuel_Specs!#REF!+$C$6*[1]Fuel_Specs!#REF!)</f>
        <v>#REF!</v>
      </c>
      <c r="K8" s="25" t="e">
        <f>K5</f>
        <v>#REF!</v>
      </c>
      <c r="L8" s="25" t="e">
        <f>L5</f>
        <v>#REF!</v>
      </c>
      <c r="M8" s="25" t="e">
        <f>M5</f>
        <v>#REF!</v>
      </c>
      <c r="N8" s="25" t="e">
        <f>IF([1]Inputs!$E$324=6,N4*[1]Hydrogen!$O$7*([1]Electric!$G$208)/([1]Electric!$G$204),IF([1]Inputs!$E$324=1,N4*[1]Hydrogen!$O$7,0))</f>
        <v>#REF!</v>
      </c>
      <c r="O8" s="25" t="e">
        <f>IF(OR([1]Inputs!$F$324=6,[1]Inputs!$F$324=8,[1]Inputs!$F$324=9,[1]Inputs!$F$324=10),O4*[1]Hydrogen!$O$8*([1]Electric!$G$208)/([1]Electric!$G$204),IF([1]Inputs!$F$324=1,O4*[1]Hydrogen!$O$8,0))</f>
        <v>#REF!</v>
      </c>
      <c r="P8" s="25" t="e">
        <f>P4*($C$40*(1-$C$16)*[1]Fuel_Specs!#REF!/((1-$C$40)*(1-$C$16)*[1]Fuel_Specs!#REF!+$C$40*(1-$C$16)*[1]Fuel_Specs!#REF!+$C$16*[1]Fuel_Specs!#REF!)+(1-$C$40)*(1-$C$16)*[1]Fuel_Specs!#REF!/((1-$C$40)*(1-$C$16)*[1]Fuel_Specs!#REF!+$C$40*(1-$C$16)*[1]Fuel_Specs!#REF!+$C$16*[1]Fuel_Specs!#REF!))</f>
        <v>#REF!</v>
      </c>
      <c r="Q8" s="25" t="e">
        <f>Q4*($C$40*(1-$C$16)*[1]Fuel_Specs!#REF!/((1-$C$40)*(1-$C$16)*[1]Fuel_Specs!#REF!+$C$40*(1-$C$16)*[1]Fuel_Specs!#REF!+$C$16*[1]Fuel_Specs!#REF!)+(1-$C$40)*(1-$C$16)*[1]Fuel_Specs!#REF!/((1-$C$40)*(1-$C$16)*[1]Fuel_Specs!#REF!+$C$40*(1-$C$16)*[1]Fuel_Specs!#REF!+$C$16*[1]Fuel_Specs!#REF!))</f>
        <v>#REF!</v>
      </c>
      <c r="R8" s="25" t="e">
        <f>R4*($C$40*(1-$C$16)*[1]Fuel_Specs!#REF!/((1-$C$40)*(1-$C$16)*[1]Fuel_Specs!#REF!+$C$40*(1-$C$16)*[1]Fuel_Specs!#REF!+$C$16*[1]Fuel_Specs!#REF!)+(1-$C$40)*(1-$C$16)*[1]Fuel_Specs!#REF!/((1-$C$40)*(1-$C$16)*[1]Fuel_Specs!#REF!+$C$40*(1-$C$16)*[1]Fuel_Specs!#REF!+$C$16*[1]Fuel_Specs!#REF!))</f>
        <v>#REF!</v>
      </c>
      <c r="S8" s="25" t="e">
        <f>S5</f>
        <v>#REF!</v>
      </c>
      <c r="T8" s="25" t="e">
        <f>T5</f>
        <v>#REF!</v>
      </c>
      <c r="U8" s="25" t="e">
        <f>U5</f>
        <v>#REF!</v>
      </c>
      <c r="V8" s="26" t="e">
        <f>([1]Inputs!$E$96*[1]Fuel_Specs!#REF!/V3)*(1-IF([1]Petroleum!$C$10=1,[1]Petroleum!J89,IF([1]Petroleum!$C$10=2,[1]Petroleum!J90,IF([1]Petroleum!$C$10=3,[1]Petroleum!J91,IF([1]Petroleum!$C$10=4,[1]Petroleum!J92))))+IF([1]Petroleum!$C$10=1,[1]Petroleum!J89*[1]Petroleum!H162,IF([1]Petroleum!$C$10=2,[1]Petroleum!J90*[1]Petroleum!H163,IF([1]Petroleum!$C$10=3,[1]Petroleum!J91*[1]Petroleum!H164,IF([1]Petroleum!$C$10=4,[1]Petroleum!J92*[1]Petroleum!H165)))))+((1-[1]Inputs!$E$96)*[1]Fuel_Specs!#REF!/V3)*(1-IF([1]Petroleum!$B$10=1,[1]Petroleum!I89,IF([1]Petroleum!$B$10=2,[1]Petroleum!I90,IF([1]Petroleum!$B$10=3,[1]Petroleum!I91,IF([1]Petroleum!$B$10=4,[1]Petroleum!I92))))+IF([1]Petroleum!$B$10=1,[1]Petroleum!I89*[1]Petroleum!H161,IF([1]Petroleum!$B$10=2,[1]Petroleum!I90*[1]Petroleum!H163,IF([1]Petroleum!$B$10=3,[1]Petroleum!I91*[1]Petroleum!H164,IF([1]Petroleum!$B$10=4,[1]Petroleum!I92*[1]Petroleum!H165)))))</f>
        <v>#REF!</v>
      </c>
      <c r="W8" s="25" t="e">
        <f>W4*(1-IF([1]Petroleum!$D$10=1,[1]Petroleum!K89,IF([1]Petroleum!$D$10=2,[1]Petroleum!K90,IF([1]Petroleum!$D$10=3,[1]Petroleum!K91,IF([1]Petroleum!$D$10=4,[1]Petroleum!K92))))+IF([1]Petroleum!$D$10=1,[1]Petroleum!K89*[1]Petroleum!H162,IF([1]Petroleum!$D$10=2,[1]Petroleum!K90*[1]Petroleum!H163,IF([1]Petroleum!$D$10=3,[1]Petroleum!K91*[1]Petroleum!H164,IF([1]Petroleum!$D$10=4,[1]Petroleum!K92*[1]Petroleum!H165)))))</f>
        <v>#REF!</v>
      </c>
      <c r="X8" s="25" t="e">
        <f>X5</f>
        <v>#REF!</v>
      </c>
      <c r="Y8" s="25" t="e">
        <f>Y4*$C$34*(1-$C$6)*[1]Fuel_Specs!#REF!/((1-$C$34)*(1-$C$6)*[1]Fuel_Specs!#REF!+$C$34*(1-$C$6)*[1]Fuel_Specs!#REF!+$C$6*[1]Fuel_Specs!#REF!)+Y4*(1-$C$34)*(1-$C$6)*[1]Fuel_Specs!#REF!/((1-$C$34)*(1-$C$6)*[1]Fuel_Specs!#REF!+$C$34*(1-$C$6)*[1]Fuel_Specs!#REF!+$C$6*[1]Fuel_Specs!#REF!)</f>
        <v>#REF!</v>
      </c>
      <c r="Z8" s="27" t="e">
        <f>Z5</f>
        <v>#REF!</v>
      </c>
      <c r="AA8" s="25" t="e">
        <f>AA4</f>
        <v>#REF!</v>
      </c>
      <c r="AB8" s="25">
        <v>0</v>
      </c>
      <c r="AC8" s="25" t="e">
        <f>AC4*$C$41*(1-$C$13)*[1]Fuel_Specs!#REF!/((1-$C$41)*(1-$C$13)*[1]Fuel_Specs!#REF!+$C$41*(1-$C$13)*[1]Fuel_Specs!#REF!+$C$13*[1]Fuel_Specs!#REF!)+AC4*(1-$C$41)*(1-$C$13)*[1]Fuel_Specs!#REF!/((1-$C$41)*(1-$C$13)*[1]Fuel_Specs!#REF!+$C$41*(1-$C$13)*[1]Fuel_Specs!#REF!+$C$13*[1]Fuel_Specs!#REF!)</f>
        <v>#REF!</v>
      </c>
      <c r="AD8" s="25" t="e">
        <f>AD4*($C$42*(1-$C$14)*[1]Fuel_Specs!#REF!/((1-$C$42)*(1-$C$14)*[1]Fuel_Specs!#REF!+$C$42*(1-$C$14)*[1]Fuel_Specs!#REF!+$C$14*[1]Fuel_Specs!#REF!)+(1-$C$42)*(1-$C$14)*[1]Fuel_Specs!#REF!/((1-$C$42)*(1-$C$14)*[1]Fuel_Specs!#REF!+$C$42*(1-$C$14)*[1]Fuel_Specs!#REF!+$C$14*[1]Fuel_Specs!#REF!))</f>
        <v>#REF!</v>
      </c>
      <c r="AE8" s="25" t="e">
        <f>AE4*($C$43*(1-$C$15)*[1]Fuel_Specs!#REF!/((1-$C$43)*(1-$C$15)*[1]Fuel_Specs!#REF!+$C$43*(1-$C$15)*[1]Fuel_Specs!#REF!+$C$15*IF([1]Inputs!$E$755=1,[1]Fuel_Specs!$B$42,IF([1]Inputs!$E$755=3,[1]Fuel_Specs!$B$44,[1]Fuel_Specs!$B$43)))+(1-$C$43)*(1-$C$15)*[1]Fuel_Specs!#REF!/((1-$C$43)*(1-$C$15)*[1]Fuel_Specs!#REF!+$C$43*(1-$C$15)*[1]Fuel_Specs!#REF!+$C$15*IF([1]Inputs!$E$755=1,[1]Fuel_Specs!$B$42,IF([1]Inputs!$E$755=3,[1]Fuel_Specs!$B$44,[1]Fuel_Specs!$B$43))))</f>
        <v>#REF!</v>
      </c>
      <c r="AF8" s="25" t="e">
        <f>AF5</f>
        <v>#REF!</v>
      </c>
      <c r="AG8" s="25" t="e">
        <f>AG5</f>
        <v>#REF!</v>
      </c>
      <c r="AH8" s="26" t="e">
        <f>([1]Inputs!$E$96*[1]Fuel_Specs!#REF!/AH3)*(1-IF([1]Petroleum!$C$10=1,[1]Petroleum!J89,IF([1]Petroleum!$C$10=2,[1]Petroleum!J90,IF([1]Petroleum!$C$10=3,[1]Petroleum!J91,IF([1]Petroleum!$C$10=4,[1]Petroleum!J92))))+IF([1]Petroleum!$C$10=1,[1]Petroleum!J89*[1]Petroleum!H162,IF([1]Petroleum!$C$10=2,[1]Petroleum!J90*[1]Petroleum!H163,IF([1]Petroleum!$C$10=3,[1]Petroleum!J91*[1]Petroleum!H164,IF([1]Petroleum!$C$10=4,[1]Petroleum!J92*[1]Petroleum!H165)))))+((1-[1]Inputs!$E$96)*[1]Fuel_Specs!#REF!/AH3)*(1-IF([1]Petroleum!$B$10=1,[1]Petroleum!I89,IF([1]Petroleum!$B$10=2,[1]Petroleum!I90,IF([1]Petroleum!$B$10=3,[1]Petroleum!I91,IF([1]Petroleum!$B$10=4,[1]Petroleum!I92))))+IF([1]Petroleum!$B$10=1,[1]Petroleum!I89*[1]Petroleum!H161,IF([1]Petroleum!$B$10=2,[1]Petroleum!I90*[1]Petroleum!H163,IF([1]Petroleum!$B$10=3,[1]Petroleum!I91*[1]Petroleum!H164,IF([1]Petroleum!$B$10=4,[1]Petroleum!I92*[1]Petroleum!H165)))))</f>
        <v>#REF!</v>
      </c>
      <c r="AI8" s="25" t="e">
        <f>AI4*(1-IF([1]Petroleum!$D$10=1,[1]Petroleum!K89,IF([1]Petroleum!$D$10=2,[1]Petroleum!K90,IF([1]Petroleum!$D$10=3,[1]Petroleum!K91,IF([1]Petroleum!$D$10=4,[1]Petroleum!K92))))+IF([1]Petroleum!$D$10=1,[1]Petroleum!K89*[1]Petroleum!H162,IF([1]Petroleum!$D$10=2,[1]Petroleum!K90*[1]Petroleum!H163,IF([1]Petroleum!$D$10=3,[1]Petroleum!K91*[1]Petroleum!H164,IF([1]Petroleum!$D$10=4,[1]Petroleum!K92*[1]Petroleum!H165)))))</f>
        <v>#REF!</v>
      </c>
      <c r="AJ8" s="25" t="e">
        <f>AJ4*($C$40*(1-$C$16)*[1]Fuel_Specs!#REF!/((1-$C$40)*(1-$C$16)*[1]Fuel_Specs!#REF!+$C$40*(1-$C$16)*[1]Fuel_Specs!#REF!+$C$16*[1]Fuel_Specs!#REF!)+(1-$C$40)*(1-$C$16)*[1]Fuel_Specs!#REF!/((1-$C$40)*(1-$C$16)*[1]Fuel_Specs!#REF!+$C$40*(1-$C$16)*[1]Fuel_Specs!#REF!+$C$16*[1]Fuel_Specs!#REF!))</f>
        <v>#REF!</v>
      </c>
      <c r="AK8" s="25" t="e">
        <f>AK5</f>
        <v>#REF!</v>
      </c>
      <c r="AL8" s="25">
        <v>0</v>
      </c>
      <c r="AM8" s="25">
        <v>0</v>
      </c>
      <c r="AN8" s="25" t="e">
        <f>AN4*[1]NG!#REF!</f>
        <v>#REF!</v>
      </c>
      <c r="AO8" s="25" t="e">
        <f>AO4*$C$34*(1-$C$6)*[1]Fuel_Specs!#REF!/((1-$C$34)*(1-$C$6)*[1]Fuel_Specs!#REF!+$C$34*(1-$C$6)*[1]Fuel_Specs!#REF!+$C$6*[1]Fuel_Specs!#REF!)+AO4*(1-$C$34)*(1-$C$6)*[1]Fuel_Specs!#REF!/((1-$C$34)*(1-$C$6)*[1]Fuel_Specs!#REF!+$C$34*(1-$C$6)*[1]Fuel_Specs!#REF!+$C$6*[1]Fuel_Specs!#REF!)</f>
        <v>#REF!</v>
      </c>
      <c r="AP8" s="25" t="e">
        <f>AP5</f>
        <v>#REF!</v>
      </c>
      <c r="AQ8" s="25" t="e">
        <f>IF([1]Inputs!$E$324=6,AQ4*[1]Hydrogen!$O$7*([1]Electric!$G$208)/([1]Electric!$G$204),IF([1]Inputs!$E$324=1,AQ4*[1]Hydrogen!$O$7,0))</f>
        <v>#REF!</v>
      </c>
      <c r="AR8" s="27" t="e">
        <f>IF(OR([1]Inputs!$F$324=6,[1]Inputs!$F$324=8,[1]Inputs!$F$324=9,[1]Inputs!$F$324=10),AR4*[1]Hydrogen!$O$8*([1]Electric!$G$208)/([1]Electric!$G$204),IF([1]Inputs!$F$324=1,AR4*[1]Hydrogen!$O$8,0))</f>
        <v>#REF!</v>
      </c>
      <c r="AS8" s="25" t="e">
        <f ca="1">AU8+AT8</f>
        <v>#REF!</v>
      </c>
      <c r="AT8" s="25">
        <f ca="1">AT4*([1]Electric!$G$208)/([1]Electric!$G$204)</f>
        <v>6.217962534843684</v>
      </c>
      <c r="AU8" s="25" t="e">
        <f ca="1">([1]Inputs!$E$96*[1]Fuel_Specs!#REF!/AU3)*(1-IF([1]Petroleum!$C$10=1,[1]Petroleum!J89,IF([1]Petroleum!$C$10=2,[1]Petroleum!J90,IF([1]Petroleum!$C$10=3,[1]Petroleum!J91,IF([1]Petroleum!$C$10=4,[1]Petroleum!J92))))+IF([1]Petroleum!$C$10=1,[1]Petroleum!J89*[1]Petroleum!H162,IF([1]Petroleum!$C$10=2,[1]Petroleum!J90*[1]Petroleum!H163,IF([1]Petroleum!$C$10=3,[1]Petroleum!J91*[1]Petroleum!H164,IF([1]Petroleum!$C$10=4,[1]Petroleum!J92*[1]Petroleum!H165)))))+((1-[1]Inputs!$E$96)*[1]Fuel_Specs!#REF!/AU3)*(1-IF([1]Petroleum!$B$10=1,[1]Petroleum!I89,IF([1]Petroleum!$B$10=2,[1]Petroleum!I90,IF([1]Petroleum!$B$10=3,[1]Petroleum!I91,IF([1]Petroleum!$B$10=4,[1]Petroleum!I92))))+IF([1]Petroleum!$B$10=1,[1]Petroleum!I89*[1]Petroleum!H161,IF([1]Petroleum!$B$10=2,[1]Petroleum!I90*[1]Petroleum!H163,IF([1]Petroleum!$B$10=3,[1]Petroleum!I91*[1]Petroleum!H164,IF([1]Petroleum!$B$10=4,[1]Petroleum!I92*[1]Petroleum!H165)))))</f>
        <v>#REF!</v>
      </c>
      <c r="AV8" s="25" t="e">
        <f>([1]Inputs!$E$96*[1]Fuel_Specs!#REF!/AV3)*(1-IF([1]Petroleum!$C$10=1,[1]Petroleum!J89,IF([1]Petroleum!$C$10=2,[1]Petroleum!J90,IF([1]Petroleum!$C$10=3,[1]Petroleum!J91,IF([1]Petroleum!$C$10=4,[1]Petroleum!J92))))+IF([1]Petroleum!$C$10=1,[1]Petroleum!J89*[1]Petroleum!H162,IF([1]Petroleum!$C$10=2,[1]Petroleum!J90*[1]Petroleum!H163,IF([1]Petroleum!$C$10=3,[1]Petroleum!J91*[1]Petroleum!H164,IF([1]Petroleum!$C$10=4,[1]Petroleum!J92*[1]Petroleum!H165)))))+((1-[1]Inputs!$E$96)*[1]Fuel_Specs!#REF!/AV3)*(1-IF([1]Petroleum!$B$10=1,[1]Petroleum!I89,IF([1]Petroleum!$B$10=2,[1]Petroleum!I90,IF([1]Petroleum!$B$10=3,[1]Petroleum!I91,IF([1]Petroleum!$B$10=4,[1]Petroleum!I92))))+IF([1]Petroleum!$B$10=1,[1]Petroleum!I89*[1]Petroleum!H161,IF([1]Petroleum!$B$10=2,[1]Petroleum!I90*[1]Petroleum!H163,IF([1]Petroleum!$B$10=3,[1]Petroleum!I91*[1]Petroleum!H164,IF([1]Petroleum!$B$10=4,[1]Petroleum!I92*[1]Petroleum!H165)))))</f>
        <v>#REF!</v>
      </c>
      <c r="AW8" s="26">
        <f ca="1">AY8+AX8</f>
        <v>8.7157864141163355</v>
      </c>
      <c r="AX8" s="25">
        <f ca="1">AX4*([1]Electric!$G$208)/([1]Electric!$G$204)</f>
        <v>6.217962534843684</v>
      </c>
      <c r="AY8" s="25">
        <f ca="1">AY4*(1-IF([1]Petroleum!$D$10=1,[1]Petroleum!K89,IF([1]Petroleum!$D$10=2,[1]Petroleum!K90,IF([1]Petroleum!$D$10=3,[1]Petroleum!K91,IF([1]Petroleum!$D$10=4,[1]Petroleum!K92))))+IF([1]Petroleum!$D$10=1,[1]Petroleum!K89*[1]Petroleum!H162,IF([1]Petroleum!$D$10=2,[1]Petroleum!K90*[1]Petroleum!H163,IF([1]Petroleum!$D$10=3,[1]Petroleum!K91*[1]Petroleum!H164,IF([1]Petroleum!$D$10=4,[1]Petroleum!K92*[1]Petroleum!H165)))))</f>
        <v>2.4978238792726519</v>
      </c>
      <c r="AZ8" s="27" t="e">
        <f>AZ4*(1-IF([1]Petroleum!$D$10=1,[1]Petroleum!K89,IF([1]Petroleum!$D$10=2,[1]Petroleum!K90,IF([1]Petroleum!$D$10=3,[1]Petroleum!K91,IF([1]Petroleum!$D$10=4,[1]Petroleum!K92))))+IF([1]Petroleum!$D$10=1,[1]Petroleum!K89*[1]Petroleum!H162,IF([1]Petroleum!$D$10=2,[1]Petroleum!K90*[1]Petroleum!H163,IF([1]Petroleum!$D$10=3,[1]Petroleum!K91*[1]Petroleum!H164,IF([1]Petroleum!$D$10=4,[1]Petroleum!K92*[1]Petroleum!H165)))))</f>
        <v>#REF!</v>
      </c>
      <c r="BA8" s="26" t="e">
        <f t="shared" ca="1" si="58"/>
        <v>#REF!</v>
      </c>
      <c r="BB8" s="25">
        <f ca="1">BB4*([1]Electric!$G$208)/([1]Electric!$G$204)</f>
        <v>6.217962534843684</v>
      </c>
      <c r="BC8" s="25" t="e">
        <f ca="1">BC5</f>
        <v>#REF!</v>
      </c>
      <c r="BD8" s="27" t="e">
        <f>BD5</f>
        <v>#REF!</v>
      </c>
      <c r="BE8" s="25" t="e">
        <f>BE4*([1]Electric!$G$208)/([1]Electric!$G$204)</f>
        <v>#REF!</v>
      </c>
      <c r="BF8" s="25">
        <f ca="1">BF4*([1]Electric!$G$208)/([1]Electric!$G$204)</f>
        <v>6.217962534843684</v>
      </c>
      <c r="BG8" s="25" t="e">
        <f ca="1">BG5</f>
        <v>#REF!</v>
      </c>
      <c r="BH8" s="25" t="e">
        <f>BH5</f>
        <v>#REF!</v>
      </c>
      <c r="BI8" s="26" t="e">
        <f>BI4*([1]Electric!$G$208)/([1]Electric!$G$204)</f>
        <v>#REF!</v>
      </c>
      <c r="BJ8" s="25">
        <f ca="1">BJ4*([1]Electric!$G$208)/([1]Electric!$G$204)</f>
        <v>6.217962534843684</v>
      </c>
      <c r="BK8" s="25">
        <v>0</v>
      </c>
      <c r="BL8" s="27">
        <v>0</v>
      </c>
      <c r="BM8" s="25" t="e">
        <f>BM4*([1]Electric!$G$208)/([1]Electric!$G$204)</f>
        <v>#REF!</v>
      </c>
      <c r="BN8" s="25">
        <f ca="1">BN4*([1]Electric!$G$208)/([1]Electric!$G$204)</f>
        <v>6.217962534843684</v>
      </c>
      <c r="BO8" s="25">
        <v>0</v>
      </c>
      <c r="BP8" s="25">
        <v>0</v>
      </c>
      <c r="BQ8" s="26" t="e">
        <f>BQ4*([1]Electric!$G$208)/([1]Electric!$G$204)</f>
        <v>#REF!</v>
      </c>
      <c r="BR8" s="25">
        <f ca="1">BR4*([1]Electric!$G$208)/([1]Electric!$G$204)</f>
        <v>6.217962534843684</v>
      </c>
      <c r="BS8" s="25" t="e">
        <f ca="1">BS4*[1]NG!#REF!</f>
        <v>#REF!</v>
      </c>
      <c r="BT8" s="27" t="e">
        <f>BT4*[1]NG!#REF!</f>
        <v>#REF!</v>
      </c>
      <c r="BU8" s="25" t="e">
        <f>BU4*([1]Electric!$G$208)/([1]Electric!$G$204)</f>
        <v>#REF!</v>
      </c>
      <c r="BV8" s="25">
        <f ca="1">BV4*([1]Electric!$G$208)/([1]Electric!$G$204)</f>
        <v>6.217962534843684</v>
      </c>
      <c r="BW8" s="25" t="e">
        <f ca="1">BW4*$C$34*(1-$C$6)*[1]Fuel_Specs!#REF!/((1-$C$34)*(1-$C$6)*[1]Fuel_Specs!#REF!+$C$34*(1-$C$6)*[1]Fuel_Specs!#REF!+$C$6*[1]Fuel_Specs!#REF!)+BW4*(1-$C$34)*(1-$C$6)*[1]Fuel_Specs!#REF!/((1-$C$34)*(1-$C$6)*[1]Fuel_Specs!#REF!+$C$34*(1-$C$6)*[1]Fuel_Specs!#REF!+$C$6*[1]Fuel_Specs!#REF!)</f>
        <v>#REF!</v>
      </c>
      <c r="BX8" s="25" t="e">
        <f>BX4*$C$34*(1-$C$6)*[1]Fuel_Specs!#REF!/((1-$C$34)*(1-$C$6)*[1]Fuel_Specs!#REF!+$C$34*(1-$C$6)*[1]Fuel_Specs!#REF!+$C$6*[1]Fuel_Specs!#REF!)+BX4*(1-$C$34)*(1-$C$6)*[1]Fuel_Specs!#REF!/((1-$C$34)*(1-$C$6)*[1]Fuel_Specs!#REF!+$C$34*(1-$C$6)*[1]Fuel_Specs!#REF!+$C$6*[1]Fuel_Specs!#REF!)</f>
        <v>#REF!</v>
      </c>
      <c r="BY8" s="26" t="e">
        <f ca="1">CA8+BZ8</f>
        <v>#REF!</v>
      </c>
      <c r="BZ8" s="25">
        <f>BZ$73*([1]Electric!$F139+[1]Electric!$G139)/([1]Electric!$G$204)</f>
        <v>0</v>
      </c>
      <c r="CA8" s="25" t="e">
        <f ca="1">CA5</f>
        <v>#REF!</v>
      </c>
      <c r="CB8" s="27" t="e">
        <f>CB5</f>
        <v>#REF!</v>
      </c>
      <c r="CC8" s="25">
        <f ca="1">CE8+CD8</f>
        <v>0</v>
      </c>
      <c r="CD8" s="25">
        <f>CD$73*([1]Electric!$F139+[1]Electric!$G139)/([1]Electric!$G$204)</f>
        <v>0</v>
      </c>
      <c r="CE8" s="25">
        <f ca="1">IF([1]Inputs!$E$324=6,CE4*[1]Hydrogen!$O$7*([1]Electric!$G$208)/([1]Electric!$G$204),IF([1]Inputs!$E$324=1,CE4*[1]Hydrogen!$O$7,0))</f>
        <v>0</v>
      </c>
      <c r="CF8" s="25" t="e">
        <f>IF([1]Inputs!$E$324=6,CF4*[1]Hydrogen!$O$7*([1]Electric!$G$208)/([1]Electric!$G$204),IF([1]Inputs!$E$324=1,CF4*[1]Hydrogen!$O$7,0))</f>
        <v>#REF!</v>
      </c>
      <c r="CG8" s="25" t="e">
        <f>IF(OR([1]Inputs!$F$324=6,[1]Inputs!$F$324=8,[1]Inputs!$F$324=9,[1]Inputs!$F$324=10),CG4*[1]Hydrogen!$O$8*([1]Electric!$G$208)/([1]Electric!$G$204),IF([1]Inputs!$F$324=1,CG4*[1]Hydrogen!$O$8,0))</f>
        <v>#REF!</v>
      </c>
      <c r="CH8" s="26" t="e">
        <f>CH4</f>
        <v>#REF!</v>
      </c>
      <c r="CI8" s="25">
        <v>0</v>
      </c>
      <c r="CJ8" s="25" t="e">
        <f>CJ4*$C$41*(1-$C$13)*[1]Fuel_Specs!#REF!/((1-$C$41)*(1-$C$13)*[1]Fuel_Specs!#REF!+$C$41*(1-$C$13)*[1]Fuel_Specs!#REF!+$C$13*[1]Fuel_Specs!#REF!)+CJ4*(1-$C$41)*(1-$C$13)*[1]Fuel_Specs!#REF!/((1-$C$41)*(1-$C$13)*[1]Fuel_Specs!#REF!+$C$41*(1-$C$13)*[1]Fuel_Specs!#REF!+$C$13*[1]Fuel_Specs!#REF!)</f>
        <v>#REF!</v>
      </c>
      <c r="CK8" s="25" t="e">
        <f>CK4*($C$42*(1-$C$14)*[1]Fuel_Specs!#REF!/((1-$C$42)*(1-$C$14)*[1]Fuel_Specs!#REF!+$C$42*(1-$C$14)*[1]Fuel_Specs!#REF!+$C$14*[1]Fuel_Specs!#REF!)+(1-$C$42)*(1-$C$14)*[1]Fuel_Specs!#REF!/((1-$C$42)*(1-$C$14)*[1]Fuel_Specs!#REF!+$C$42*(1-$C$14)*[1]Fuel_Specs!#REF!+$C$14*[1]Fuel_Specs!#REF!))</f>
        <v>#REF!</v>
      </c>
      <c r="CL8" s="25" t="e">
        <f>CL4*($C$43*(1-$C$15)*[1]Fuel_Specs!#REF!/((1-$C$43)*(1-$C$15)*[1]Fuel_Specs!#REF!+$C$43*(1-$C$15)*[1]Fuel_Specs!#REF!+$C$15*IF([1]Inputs!$E$755=1,[1]Fuel_Specs!#REF!,[1]Fuel_Specs!#REF!))+(1-$C$43)*(1-$C$15)*[1]Fuel_Specs!#REF!/((1-$C$43)*(1-$C$15)*[1]Fuel_Specs!#REF!+$C$43*(1-$C$15)*[1]Fuel_Specs!#REF!+$C$15*IF([1]Inputs!$E$755=1,[1]Fuel_Specs!#REF!,[1]Fuel_Specs!#REF!)))</f>
        <v>#REF!</v>
      </c>
      <c r="CM8" s="27" t="e">
        <f>CM5</f>
        <v>#REF!</v>
      </c>
      <c r="CN8" s="25">
        <f ca="1">CP8+CO8</f>
        <v>2.5201269305306275</v>
      </c>
      <c r="CO8" s="25">
        <f>CO$73*([1]Electric!$F139+[1]Electric!$G139)/([1]Electric!$G$204)</f>
        <v>0</v>
      </c>
      <c r="CP8" s="25">
        <f ca="1">CP4</f>
        <v>2.5201269305306275</v>
      </c>
      <c r="CQ8" s="25" t="e">
        <f>CQ4</f>
        <v>#REF!</v>
      </c>
      <c r="CR8" s="26">
        <f t="shared" si="53"/>
        <v>0</v>
      </c>
      <c r="CS8" s="25">
        <f>CS$73*([1]Electric!$F139+[1]Electric!$G139)/([1]Electric!$G$204)</f>
        <v>0</v>
      </c>
      <c r="CT8" s="25">
        <v>0</v>
      </c>
      <c r="CU8" s="27">
        <v>0</v>
      </c>
      <c r="CV8" s="25" t="e">
        <f t="shared" ca="1" si="54"/>
        <v>#REF!</v>
      </c>
      <c r="CW8" s="25">
        <f>CW$73*([1]Electric!$F139+[1]Electric!$G139)/([1]Electric!$G$204)</f>
        <v>0</v>
      </c>
      <c r="CX8" s="25" t="e">
        <f ca="1">CX4*$C$41*(1-$C$13)*[1]Fuel_Specs!#REF!/((1-$C$41)*(1-$C$13)*[1]Fuel_Specs!#REF!+$C$41*(1-$C$13)*[1]Fuel_Specs!#REF!+$C$13*[1]Fuel_Specs!#REF!)+CX4*(1-$C$41)*(1-$C$13)*[1]Fuel_Specs!#REF!/((1-$C$41)*(1-$C$13)*[1]Fuel_Specs!#REF!+$C$41*(1-$C$13)*[1]Fuel_Specs!#REF!+$C$13*[1]Fuel_Specs!#REF!)</f>
        <v>#REF!</v>
      </c>
      <c r="CY8" s="25" t="e">
        <f>CY4*$C$41*(1-$C$13)*[1]Fuel_Specs!#REF!/((1-$C$41)*(1-$C$13)*[1]Fuel_Specs!#REF!+$C$41*(1-$C$13)*[1]Fuel_Specs!#REF!+$C$13*[1]Fuel_Specs!#REF!)+CY4*(1-$C$41)*(1-$C$13)*[1]Fuel_Specs!#REF!/((1-$C$41)*(1-$C$13)*[1]Fuel_Specs!#REF!+$C$41*(1-$C$13)*[1]Fuel_Specs!#REF!+$C$13*[1]Fuel_Specs!#REF!)</f>
        <v>#REF!</v>
      </c>
      <c r="CZ8" s="26" t="e">
        <f t="shared" ca="1" si="55"/>
        <v>#REF!</v>
      </c>
      <c r="DA8" s="25">
        <f>DA$73*([1]Electric!$F139+[1]Electric!$G139)/([1]Electric!$G$204)</f>
        <v>0</v>
      </c>
      <c r="DB8" s="25" t="e">
        <f ca="1">DB4*($C$42*(1-$C$14)*[1]Fuel_Specs!#REF!/((1-$C$42)*(1-$C$14)*[1]Fuel_Specs!#REF!+$C$42*(1-$C$14)*[1]Fuel_Specs!#REF!+$C$14*[1]Fuel_Specs!#REF!)+(1-$C$42)*(1-$C$14)*[1]Fuel_Specs!#REF!/((1-$C$42)*(1-$C$14)*[1]Fuel_Specs!#REF!+$C$42*(1-$C$14)*[1]Fuel_Specs!#REF!+$C$14*[1]Fuel_Specs!#REF!))</f>
        <v>#REF!</v>
      </c>
      <c r="DC8" s="27" t="e">
        <f>DC4*($C$42*(1-$C$14)*[1]Fuel_Specs!#REF!/((1-$C$42)*(1-$C$14)*[1]Fuel_Specs!#REF!+$C$42*(1-$C$14)*[1]Fuel_Specs!#REF!+$C$14*[1]Fuel_Specs!#REF!)+(1-$C$42)*(1-$C$14)*[1]Fuel_Specs!#REF!/((1-$C$42)*(1-$C$14)*[1]Fuel_Specs!#REF!+$C$42*(1-$C$14)*[1]Fuel_Specs!#REF!+$C$14*[1]Fuel_Specs!#REF!))</f>
        <v>#REF!</v>
      </c>
      <c r="DD8" s="25" t="e">
        <f t="shared" ca="1" si="56"/>
        <v>#REF!</v>
      </c>
      <c r="DE8" s="25">
        <f>DE$73*([1]Electric!$F139+[1]Electric!$G139)/([1]Electric!$G$204)</f>
        <v>0</v>
      </c>
      <c r="DF8" s="25" t="e">
        <f ca="1">DF5</f>
        <v>#REF!</v>
      </c>
      <c r="DG8" s="27" t="e">
        <f>DG5</f>
        <v>#REF!</v>
      </c>
      <c r="DH8" s="25" t="e">
        <f t="shared" ca="1" si="57"/>
        <v>#REF!</v>
      </c>
      <c r="DI8" s="25">
        <f>DI$73*([1]Electric!$F139+[1]Electric!$G139)/([1]Electric!$G$204)</f>
        <v>0</v>
      </c>
      <c r="DJ8" s="25" t="e">
        <f ca="1">DJ5</f>
        <v>#REF!</v>
      </c>
      <c r="DK8" s="25" t="e">
        <f>DK5</f>
        <v>#REF!</v>
      </c>
      <c r="DL8" s="26" t="e">
        <f>DL4*([1]Electric!$G$208)/([1]Electric!$G$204)</f>
        <v>#REF!</v>
      </c>
      <c r="DM8" s="25" t="e">
        <f>IF([1]Inputs!$E$324=6,DM4*[1]Hydrogen!$O$7*([1]Electric!$G$208)/([1]Electric!$G$204),IF([1]Inputs!$E$324=1,DM4*[1]Hydrogen!$O$7,0))</f>
        <v>#REF!</v>
      </c>
      <c r="DN8" s="25" t="e">
        <f>IF(OR([1]Inputs!$F$324=6,[1]Inputs!$F$324=8,[1]Inputs!$F$324=9,[1]Inputs!$F$324=10),DN4*[1]Hydrogen!$O$8*([1]Electric!$G$208)/([1]Electric!$G$204),IF([1]Inputs!$F$324=1,DN4*[1]Hydrogen!$O$8,0))</f>
        <v>#REF!</v>
      </c>
      <c r="DO8" s="25">
        <v>0</v>
      </c>
      <c r="DP8" s="25" t="e">
        <f>DP4*(1-IF([1]Petroleum!$C$10=1,[1]Petroleum!J89,IF([1]Petroleum!$C$10=2,[1]Petroleum!J90,IF([1]Petroleum!$C$10=3,[1]Petroleum!J91,IF([1]Petroleum!$C$10=4,[1]Petroleum!J92))))+IF([1]Petroleum!$C$10=1,[1]Petroleum!J89*[1]Petroleum!H162,IF([1]Petroleum!$C$10=2,[1]Petroleum!J90*[1]Petroleum!H163,IF([1]Petroleum!$C$10=3,[1]Petroleum!J91*[1]Petroleum!H164,IF([1]Petroleum!$C$10=4,[1]Petroleum!J92*[1]Petroleum!H165)))))</f>
        <v>#REF!</v>
      </c>
      <c r="DQ8" s="25" t="e">
        <f>DQ4*(1-IF([1]Petroleum!$D$10=1,[1]Petroleum!K89,IF([1]Petroleum!$D$10=2,[1]Petroleum!K90,IF([1]Petroleum!$D$10=3,[1]Petroleum!K91,IF([1]Petroleum!$D$10=4,[1]Petroleum!K92))))+IF([1]Petroleum!$D$10=1,[1]Petroleum!K89*[1]Petroleum!H162,IF([1]Petroleum!$D$10=2,[1]Petroleum!K90*[1]Petroleum!H163,IF([1]Petroleum!$D$10=3,[1]Petroleum!K91*[1]Petroleum!H164,IF([1]Petroleum!$D$10=4,[1]Petroleum!K92*[1]Petroleum!H165)))))</f>
        <v>#REF!</v>
      </c>
      <c r="DR8" s="25" t="e">
        <f>DR4</f>
        <v>#REF!</v>
      </c>
      <c r="DS8" s="25">
        <v>0</v>
      </c>
      <c r="DT8" s="25">
        <v>0</v>
      </c>
      <c r="DU8" s="25">
        <v>0</v>
      </c>
      <c r="DV8" s="25" t="e">
        <f>DV4*[1]NG!#REF!</f>
        <v>#REF!</v>
      </c>
      <c r="DW8" s="27" t="e">
        <f>DW4*[1]Inputs!G117</f>
        <v>#REF!</v>
      </c>
      <c r="DX8" s="25">
        <f ca="1">DY8+DZ8</f>
        <v>0</v>
      </c>
      <c r="DY8" s="25">
        <f>DY$73*([1]Electric!$F139+[1]Electric!$G139)/([1]Electric!$G$204)</f>
        <v>0</v>
      </c>
      <c r="DZ8" s="25">
        <f ca="1">IF([1]Inputs!$E$324=6,DZ4*[1]Hydrogen!$O$7*([1]Electric!$G$208)/([1]Electric!$G$204),IF([1]Inputs!$E$324=1,DZ4*[1]Hydrogen!$O$7,0))</f>
        <v>0</v>
      </c>
      <c r="EA8" s="27" t="e">
        <f>IF([1]Inputs!$E$324=6,EA4*[1]Hydrogen!$O$7*([1]Electric!$G$208)/([1]Electric!$G$204),IF([1]Inputs!$E$324=1,EA4*[1]Hydrogen!$O$7,0))</f>
        <v>#REF!</v>
      </c>
      <c r="EB8" s="27" t="e">
        <f>EB4</f>
        <v>#REF!</v>
      </c>
      <c r="EC8" s="25" t="e">
        <f>EC4*($C$45*(1-$C$20)*[1]Fuel_Specs!#REF!/((1-$C$45)*(1-$C$20)*[1]Fuel_Specs!#REF!+$C$45*(1-$C$20)*[1]Fuel_Specs!#REF!+$C$20*[1]Fuel_Specs!#REF!)+(1-$C$45)*(1-$C$20)*[1]Fuel_Specs!#REF!/((1-$C$45)*(1-$C$20)*[1]Fuel_Specs!#REF!+$C$45*(1-$C$20)*[1]Fuel_Specs!#REF!+$C$20*[1]Fuel_Specs!#REF!))</f>
        <v>#REF!</v>
      </c>
      <c r="ED8" s="27" t="e">
        <f>ED4*($C$46*(1-$C$21)*[1]Fuel_Specs!#REF!/((1-$C$46)*(1-$C$21)*[1]Fuel_Specs!#REF!+$C$46*(1-$C$21)*[1]Fuel_Specs!#REF!+$C$21*[1]Fuel_Specs!#REF!)+(1-$C$46)*(1-$C$21)*[1]Fuel_Specs!#REF!/((1-$C$46)*(1-$C$21)*[1]Fuel_Specs!#REF!+$C$46*(1-$C$21)*[1]Fuel_Specs!#REF!+$C$21*[1]Fuel_Specs!#REF!))</f>
        <v>#REF!</v>
      </c>
      <c r="EE8" s="28" t="e">
        <f>EE4*($C$47*(1-$C$22)*[1]Fuel_Specs!#REF!/((1-$C$47)*(1-$C$22)*[1]Fuel_Specs!#REF!+$C$47*(1-$C$22)*[1]Fuel_Specs!#REF!+$C$22*[1]Fuel_Specs!#REF!)+(1-$C$47)*(1-$C$22)*[1]Fuel_Specs!#REF!/((1-$C$47)*(1-$C$22)*[1]Fuel_Specs!#REF!+$C$47*(1-$C$22)*[1]Fuel_Specs!#REF!+$C$22*[1]Fuel_Specs!#REF!))</f>
        <v>#REF!</v>
      </c>
    </row>
    <row r="9" spans="1:135" x14ac:dyDescent="0.25">
      <c r="A9" s="5" t="s">
        <v>126</v>
      </c>
      <c r="V9" s="29"/>
      <c r="Z9" s="30"/>
      <c r="AH9" s="29"/>
      <c r="AR9" s="30"/>
      <c r="AW9" s="29"/>
      <c r="AZ9" s="30"/>
      <c r="BA9" s="29"/>
      <c r="BD9" s="30"/>
      <c r="BI9" s="29"/>
      <c r="BL9" s="30"/>
      <c r="BQ9" s="29"/>
      <c r="BT9" s="30"/>
      <c r="BY9" s="29"/>
      <c r="CB9" s="30"/>
      <c r="CH9" s="29"/>
      <c r="CM9" s="30"/>
      <c r="CR9" s="29"/>
      <c r="CU9" s="30"/>
      <c r="CV9">
        <f t="shared" si="54"/>
        <v>0</v>
      </c>
      <c r="CZ9" s="29"/>
      <c r="DC9" s="30"/>
      <c r="DG9" s="30"/>
      <c r="DL9" s="29"/>
      <c r="DW9" s="30"/>
      <c r="EA9" s="30"/>
      <c r="EB9" s="30"/>
      <c r="ED9" s="30"/>
      <c r="EE9" s="31"/>
    </row>
    <row r="10" spans="1:135" x14ac:dyDescent="0.25">
      <c r="A10" s="5" t="s">
        <v>127</v>
      </c>
      <c r="B10" s="32">
        <f>IF([1]Inputs!$E$16=1,[1]Inputs!F1212,IF([1]Inputs!$E$16=2,[1]Inputs!G1212,[1]Inputs!H1212))</f>
        <v>0</v>
      </c>
      <c r="C10" s="32" t="e">
        <f t="shared" ref="C10:N10" si="63">$B10*#REF!</f>
        <v>#REF!</v>
      </c>
      <c r="D10" s="32" t="e">
        <f t="shared" ref="D10:O10" si="64">$B10*#REF!</f>
        <v>#REF!</v>
      </c>
      <c r="E10" s="32" t="e">
        <f t="shared" ref="E10:P10" si="65">$B10*#REF!</f>
        <v>#REF!</v>
      </c>
      <c r="F10" s="32" t="e">
        <f t="shared" ref="F10:Q10" si="66">$B10*#REF!</f>
        <v>#REF!</v>
      </c>
      <c r="G10" s="32" t="e">
        <f t="shared" ref="G10:R10" si="67">$B10*#REF!</f>
        <v>#REF!</v>
      </c>
      <c r="H10" s="32" t="e">
        <f t="shared" ref="H10:S10" si="68">$B10*#REF!</f>
        <v>#REF!</v>
      </c>
      <c r="I10" s="32" t="e">
        <f t="shared" ref="I10:T10" si="69">$B10*#REF!</f>
        <v>#REF!</v>
      </c>
      <c r="J10" s="32" t="e">
        <f t="shared" ref="J10:U10" si="70">$B10*#REF!</f>
        <v>#REF!</v>
      </c>
      <c r="K10" s="32" t="e">
        <f t="shared" ref="K10:V10" si="71">$B10*#REF!</f>
        <v>#REF!</v>
      </c>
      <c r="L10" s="32" t="e">
        <f t="shared" ref="L10:W10" si="72">$B10*#REF!</f>
        <v>#REF!</v>
      </c>
      <c r="M10" s="32" t="e">
        <f t="shared" ref="M10:X10" si="73">$B10*#REF!</f>
        <v>#REF!</v>
      </c>
      <c r="N10" s="32" t="e">
        <f t="shared" ref="N10:Y10" si="74">$B10*#REF!</f>
        <v>#REF!</v>
      </c>
      <c r="O10" s="32" t="e">
        <f t="shared" ref="O10:P17" si="75">$B10*#REF!</f>
        <v>#REF!</v>
      </c>
      <c r="P10" s="32" t="e">
        <f t="shared" ref="P10:Q17" si="76">$B10*#REF!</f>
        <v>#REF!</v>
      </c>
      <c r="Q10" s="32" t="e">
        <f>$B10*#REF!</f>
        <v>#REF!</v>
      </c>
      <c r="R10" s="32" t="e">
        <f>$B10*#REF!</f>
        <v>#REF!</v>
      </c>
      <c r="S10" s="32">
        <f>$B10</f>
        <v>0</v>
      </c>
      <c r="T10" s="32">
        <f>$B10</f>
        <v>0</v>
      </c>
      <c r="U10" s="32">
        <f>$B10</f>
        <v>0</v>
      </c>
      <c r="V10" s="33" t="e">
        <f t="shared" ref="V10:Z17" si="77">$B10*#REF!</f>
        <v>#REF!</v>
      </c>
      <c r="W10" s="32" t="e">
        <f t="shared" ref="W10:AA17" si="78">$B10*#REF!</f>
        <v>#REF!</v>
      </c>
      <c r="X10" s="32" t="e">
        <f t="shared" ref="X10:AB17" si="79">$B10*#REF!</f>
        <v>#REF!</v>
      </c>
      <c r="Y10" s="32" t="e">
        <f t="shared" ref="Y10:AC17" si="80">$B10*#REF!</f>
        <v>#REF!</v>
      </c>
      <c r="Z10" s="34" t="e">
        <f t="shared" ref="Z10:AD17" si="81">$B10*#REF!</f>
        <v>#REF!</v>
      </c>
      <c r="AA10" s="32">
        <f>IF([1]Inputs!$E$16=1,[1]Inputs!I1212,IF([1]Inputs!$E$16=2,[1]Inputs!J1212,[1]Inputs!K1212))</f>
        <v>0</v>
      </c>
      <c r="AB10" s="32" t="e">
        <f t="shared" ref="AB10:AG17" si="82">$AA10*#REF!</f>
        <v>#REF!</v>
      </c>
      <c r="AC10" s="32" t="e">
        <f t="shared" ref="AC10:AH17" si="83">$AA10*#REF!</f>
        <v>#REF!</v>
      </c>
      <c r="AD10" s="32" t="e">
        <f t="shared" ref="AD10:AI17" si="84">$AA10*#REF!</f>
        <v>#REF!</v>
      </c>
      <c r="AE10" s="32" t="e">
        <f t="shared" ref="AE10:AJ17" si="85">$AA10*#REF!</f>
        <v>#REF!</v>
      </c>
      <c r="AF10" s="32" t="e">
        <f t="shared" ref="AF10:AK17" si="86">$AA10*#REF!</f>
        <v>#REF!</v>
      </c>
      <c r="AG10" s="32" t="e">
        <f t="shared" ref="AG10:AL17" si="87">$AA10*#REF!</f>
        <v>#REF!</v>
      </c>
      <c r="AH10" s="33" t="e">
        <f t="shared" ref="AH10:AQ17" si="88">$B10*#REF!</f>
        <v>#REF!</v>
      </c>
      <c r="AI10" s="32" t="e">
        <f t="shared" ref="AI10:AR17" si="89">$B10*#REF!</f>
        <v>#REF!</v>
      </c>
      <c r="AJ10" s="32" t="e">
        <f t="shared" ref="AJ10:AS17" si="90">$B10*#REF!</f>
        <v>#REF!</v>
      </c>
      <c r="AK10" s="32" t="e">
        <f t="shared" ref="AK10:AT17" si="91">$B10*#REF!</f>
        <v>#REF!</v>
      </c>
      <c r="AL10" s="32" t="e">
        <f t="shared" ref="AL10:AU17" si="92">$B10*#REF!</f>
        <v>#REF!</v>
      </c>
      <c r="AM10" s="32" t="e">
        <f t="shared" ref="AM10:AV17" si="93">$B10*#REF!</f>
        <v>#REF!</v>
      </c>
      <c r="AN10" s="32" t="e">
        <f t="shared" ref="AN10:AW17" si="94">$B10*#REF!</f>
        <v>#REF!</v>
      </c>
      <c r="AO10" s="32" t="e">
        <f t="shared" ref="AO10:AX17" si="95">$B10*#REF!</f>
        <v>#REF!</v>
      </c>
      <c r="AP10" s="32" t="e">
        <f t="shared" ref="AP10:AY17" si="96">$B10*#REF!</f>
        <v>#REF!</v>
      </c>
      <c r="AQ10" s="32" t="e">
        <f t="shared" ref="AQ10:AZ17" si="97">$B10*#REF!</f>
        <v>#REF!</v>
      </c>
      <c r="AR10" s="34" t="e">
        <f t="shared" ref="AR10:AR17" si="98">$B10*#REF!</f>
        <v>#REF!</v>
      </c>
      <c r="AS10" s="32" t="e">
        <f t="shared" ref="AS10:AS24" si="99">AU10+AT10</f>
        <v>#DIV/0!</v>
      </c>
      <c r="AT10" s="32" t="e">
        <f t="shared" ref="AT10:AT17" si="100">$B10*#REF!</f>
        <v>#REF!</v>
      </c>
      <c r="AU10" s="32" t="e">
        <f t="shared" ref="AU10:AU17" si="101">$B$72/AU$72*$B10*#REF!</f>
        <v>#DIV/0!</v>
      </c>
      <c r="AV10" s="32" t="e">
        <f t="shared" ref="AV10:AV17" si="102">$B10*#REF!</f>
        <v>#REF!</v>
      </c>
      <c r="AW10" s="33" t="e">
        <f t="shared" ref="AW10:AW24" si="103">AY10+AX10</f>
        <v>#DIV/0!</v>
      </c>
      <c r="AX10" s="32" t="e">
        <f t="shared" ref="AX10:AX17" si="104">$B10*#REF!</f>
        <v>#REF!</v>
      </c>
      <c r="AY10" s="32" t="e">
        <f t="shared" ref="AY10:AY17" si="105">$B$72/AY$72*$B10*#REF!</f>
        <v>#DIV/0!</v>
      </c>
      <c r="AZ10" s="34" t="e">
        <f t="shared" ref="AZ10:AZ17" si="106">$B10*#REF!</f>
        <v>#REF!</v>
      </c>
      <c r="BA10" s="33" t="e">
        <f t="shared" si="58"/>
        <v>#DIV/0!</v>
      </c>
      <c r="BB10" s="32" t="e">
        <f t="shared" ref="BB10:BB17" si="107">$B10*#REF!</f>
        <v>#REF!</v>
      </c>
      <c r="BC10" s="32" t="e">
        <f t="shared" ref="BC10:BC17" si="108">$B$72/BC$72*$B10*#REF!</f>
        <v>#DIV/0!</v>
      </c>
      <c r="BD10" s="34" t="e">
        <f t="shared" ref="BD10:BD17" si="109">$B10*#REF!</f>
        <v>#REF!</v>
      </c>
      <c r="BE10" s="32" t="e">
        <f t="shared" ref="BE10:BE24" ca="1" si="110">BG10+BF10</f>
        <v>#REF!</v>
      </c>
      <c r="BF10" s="32" t="e">
        <f t="shared" ref="BF10:BF17" si="111">$B10*#REF!</f>
        <v>#REF!</v>
      </c>
      <c r="BG10" s="32" t="e">
        <f ca="1">$B$72/BG3*$B10*#REF!</f>
        <v>#REF!</v>
      </c>
      <c r="BH10" s="32" t="e">
        <f t="shared" ref="BH10:BH17" si="112">$B10*#REF!</f>
        <v>#REF!</v>
      </c>
      <c r="BI10" s="33" t="e">
        <f t="shared" ref="BI10:BI24" ca="1" si="113">BK10+BJ10</f>
        <v>#REF!</v>
      </c>
      <c r="BJ10" s="32" t="e">
        <f t="shared" ref="BJ10:BJ17" si="114">$B10*#REF!</f>
        <v>#REF!</v>
      </c>
      <c r="BK10" s="32" t="e">
        <f ca="1">$B$72/BK3*$B10*#REF!</f>
        <v>#REF!</v>
      </c>
      <c r="BL10" s="34" t="e">
        <f t="shared" ref="BL10:BL17" si="115">$B10*#REF!</f>
        <v>#REF!</v>
      </c>
      <c r="BM10" s="32" t="e">
        <f t="shared" ref="BM10:BM24" ca="1" si="116">BO10+BN10</f>
        <v>#REF!</v>
      </c>
      <c r="BN10" s="32" t="e">
        <f t="shared" ref="BN10:BN17" si="117">$B10*#REF!</f>
        <v>#REF!</v>
      </c>
      <c r="BO10" s="32" t="e">
        <f ca="1">$B$72/BO3*$B10*#REF!</f>
        <v>#REF!</v>
      </c>
      <c r="BP10" s="32" t="e">
        <f t="shared" ref="BP10:BP17" si="118">$B10*#REF!</f>
        <v>#REF!</v>
      </c>
      <c r="BQ10" s="33" t="e">
        <f t="shared" ref="BQ10:BQ24" ca="1" si="119">BS10+BR10</f>
        <v>#REF!</v>
      </c>
      <c r="BR10" s="32" t="e">
        <f t="shared" ref="BR10:BR17" si="120">$B10*#REF!</f>
        <v>#REF!</v>
      </c>
      <c r="BS10" s="32" t="e">
        <f ca="1">$B$72/BS3*$B10*#REF!</f>
        <v>#REF!</v>
      </c>
      <c r="BT10" s="34" t="e">
        <f t="shared" ref="BT10:BT17" si="121">$B10*#REF!</f>
        <v>#REF!</v>
      </c>
      <c r="BU10" s="32" t="e">
        <f t="shared" ref="BU10:BU24" ca="1" si="122">BW10+BV10</f>
        <v>#REF!</v>
      </c>
      <c r="BV10" s="32" t="e">
        <f t="shared" ref="BV10:BV17" si="123">$B10*#REF!</f>
        <v>#REF!</v>
      </c>
      <c r="BW10" s="32" t="e">
        <f ca="1">$B$72/BW3*$B10*#REF!</f>
        <v>#REF!</v>
      </c>
      <c r="BX10" s="32" t="e">
        <f t="shared" ref="BX10:BX17" si="124">$B10*#REF!</f>
        <v>#REF!</v>
      </c>
      <c r="BY10" s="33" t="e">
        <f t="shared" ref="BY10:BY24" ca="1" si="125">CA10+BZ10</f>
        <v>#REF!</v>
      </c>
      <c r="BZ10" s="32" t="e">
        <f t="shared" ref="BZ10:BZ17" si="126">$B10*#REF!</f>
        <v>#REF!</v>
      </c>
      <c r="CA10" s="32" t="e">
        <f ca="1">$B$72/CA3*$B10*#REF!</f>
        <v>#REF!</v>
      </c>
      <c r="CB10" s="34" t="e">
        <f t="shared" ref="CB10:CB17" si="127">$B10*#REF!</f>
        <v>#REF!</v>
      </c>
      <c r="CC10" s="32" t="e">
        <f t="shared" ref="CC10:CC24" ca="1" si="128">CE10+CD10</f>
        <v>#REF!</v>
      </c>
      <c r="CD10" s="32" t="e">
        <f t="shared" ref="CD10:CD17" si="129">$B10*#REF!</f>
        <v>#REF!</v>
      </c>
      <c r="CE10" s="32" t="e">
        <f ca="1">$B$72/CE3*$B10*#REF!</f>
        <v>#REF!</v>
      </c>
      <c r="CF10" s="32" t="e">
        <f t="shared" ref="CF10:CF17" si="130">$B10*#REF!</f>
        <v>#REF!</v>
      </c>
      <c r="CG10" s="32" t="e">
        <f t="shared" ref="CG10:CG17" si="131">$B10*#REF!</f>
        <v>#REF!</v>
      </c>
      <c r="CH10" s="33" t="e">
        <f t="shared" ref="CH10:CM17" si="132">$AA10*#REF!</f>
        <v>#REF!</v>
      </c>
      <c r="CI10" s="32" t="e">
        <f t="shared" ref="CI10:CN17" si="133">$AA10*#REF!</f>
        <v>#REF!</v>
      </c>
      <c r="CJ10" s="32" t="e">
        <f t="shared" ref="CJ10:CO17" si="134">$AA10*#REF!</f>
        <v>#REF!</v>
      </c>
      <c r="CK10" s="32" t="e">
        <f t="shared" ref="CK10:CP17" si="135">$AA10*#REF!</f>
        <v>#REF!</v>
      </c>
      <c r="CL10" s="32" t="e">
        <f t="shared" ref="CL10:CQ17" si="136">$AA10*#REF!</f>
        <v>#REF!</v>
      </c>
      <c r="CM10" s="34" t="e">
        <f t="shared" ref="CM10:CR17" si="137">$AA10*#REF!</f>
        <v>#REF!</v>
      </c>
      <c r="CN10" s="32" t="e">
        <f t="shared" ref="CN10:CN24" ca="1" si="138">CP10+CO10</f>
        <v>#REF!</v>
      </c>
      <c r="CO10" s="32" t="e">
        <f t="shared" ref="CO10:CO17" si="139">$B10*#REF!</f>
        <v>#REF!</v>
      </c>
      <c r="CP10" s="32" t="e">
        <f ca="1">$B$72/CP3*$AA10*#REF!</f>
        <v>#REF!</v>
      </c>
      <c r="CQ10" s="32" t="e">
        <f t="shared" ref="CQ10:CQ17" si="140">$AA10*#REF!</f>
        <v>#REF!</v>
      </c>
      <c r="CR10" s="33" t="e">
        <f t="shared" ca="1" si="53"/>
        <v>#REF!</v>
      </c>
      <c r="CS10" s="32" t="e">
        <f t="shared" ref="CS10:CS17" si="141">$B10*#REF!</f>
        <v>#REF!</v>
      </c>
      <c r="CT10" s="32" t="e">
        <f ca="1">$B$72/CT3*$AA10*#REF!</f>
        <v>#REF!</v>
      </c>
      <c r="CU10" s="34" t="e">
        <f t="shared" ref="CU10:CU17" si="142">$AA10*#REF!</f>
        <v>#REF!</v>
      </c>
      <c r="CV10" s="32" t="e">
        <f t="shared" ca="1" si="54"/>
        <v>#REF!</v>
      </c>
      <c r="CW10" s="32" t="e">
        <f t="shared" ref="CW10:CW17" si="143">$B10*#REF!</f>
        <v>#REF!</v>
      </c>
      <c r="CX10" s="32" t="e">
        <f ca="1">$B$72/CX3*$AA10*#REF!</f>
        <v>#REF!</v>
      </c>
      <c r="CY10" s="32" t="e">
        <f t="shared" ref="CY10:CY17" si="144">$AA10*#REF!</f>
        <v>#REF!</v>
      </c>
      <c r="CZ10" s="33" t="e">
        <f t="shared" ca="1" si="55"/>
        <v>#REF!</v>
      </c>
      <c r="DA10" s="32" t="e">
        <f t="shared" ref="DA10:DA17" si="145">$B10*#REF!</f>
        <v>#REF!</v>
      </c>
      <c r="DB10" s="32" t="e">
        <f ca="1">$B$72/DB3*$AA10*#REF!</f>
        <v>#REF!</v>
      </c>
      <c r="DC10" s="34" t="e">
        <f t="shared" ref="DC10:DC17" si="146">$AA10*#REF!</f>
        <v>#REF!</v>
      </c>
      <c r="DD10" s="32" t="e">
        <f t="shared" ca="1" si="56"/>
        <v>#REF!</v>
      </c>
      <c r="DE10" s="32" t="e">
        <f t="shared" ref="DE10:DE17" si="147">$B10*#REF!</f>
        <v>#REF!</v>
      </c>
      <c r="DF10" s="32" t="e">
        <f ca="1">$B$72/DF3*$AA10*#REF!</f>
        <v>#REF!</v>
      </c>
      <c r="DG10" s="34" t="e">
        <f t="shared" ref="DG10:DG17" si="148">$AA10*#REF!</f>
        <v>#REF!</v>
      </c>
      <c r="DH10" s="32" t="e">
        <f t="shared" ca="1" si="57"/>
        <v>#REF!</v>
      </c>
      <c r="DI10" s="32" t="e">
        <f t="shared" ref="DI10:DI17" si="149">$B10*#REF!</f>
        <v>#REF!</v>
      </c>
      <c r="DJ10" s="32" t="e">
        <f ca="1">$B$72/DJ3*$AA10*#REF!</f>
        <v>#REF!</v>
      </c>
      <c r="DK10" s="32" t="e">
        <f t="shared" ref="DK10:DK17" si="150">$AA10*#REF!</f>
        <v>#REF!</v>
      </c>
      <c r="DL10" s="33" t="e">
        <f t="shared" ref="DL10:DM17" si="151">$B10*#REF!</f>
        <v>#REF!</v>
      </c>
      <c r="DM10" s="32" t="e">
        <f t="shared" ref="DM10:DN17" si="152">$B10*#REF!</f>
        <v>#REF!</v>
      </c>
      <c r="DN10" s="32" t="e">
        <f t="shared" ref="DN10:DW17" si="153">$B10*#REF!</f>
        <v>#REF!</v>
      </c>
      <c r="DO10" s="32" t="e">
        <f t="shared" ref="DO10:DX17" si="154">$B10*#REF!</f>
        <v>#REF!</v>
      </c>
      <c r="DP10" s="32" t="e">
        <f t="shared" ref="DP10:DY17" si="155">$B10*#REF!</f>
        <v>#REF!</v>
      </c>
      <c r="DQ10" s="32" t="e">
        <f t="shared" ref="DQ10:DZ17" si="156">$B10*#REF!</f>
        <v>#REF!</v>
      </c>
      <c r="DR10" s="32" t="e">
        <f t="shared" ref="DR10:EA17" si="157">$B10*#REF!</f>
        <v>#REF!</v>
      </c>
      <c r="DS10" s="32" t="e">
        <f t="shared" ref="DS10:EB17" si="158">$B10*#REF!</f>
        <v>#REF!</v>
      </c>
      <c r="DT10" s="32" t="e">
        <f t="shared" ref="DT10:EC17" si="159">$B10*#REF!</f>
        <v>#REF!</v>
      </c>
      <c r="DU10" s="32" t="e">
        <f t="shared" ref="DU10:ED17" si="160">$B10*#REF!</f>
        <v>#REF!</v>
      </c>
      <c r="DV10" s="32" t="e">
        <f t="shared" ref="DV10:EE17" si="161">$B10*#REF!</f>
        <v>#REF!</v>
      </c>
      <c r="DW10" s="34" t="e">
        <f t="shared" ref="DW10:EE17" si="162">$B10*#REF!</f>
        <v>#REF!</v>
      </c>
      <c r="DX10" s="32" t="e">
        <f t="shared" ref="DX10:DX24" ca="1" si="163">DY10+DZ10</f>
        <v>#REF!</v>
      </c>
      <c r="DY10" s="32" t="e">
        <f t="shared" ref="DY10:DY17" si="164">$B10*#REF!</f>
        <v>#REF!</v>
      </c>
      <c r="DZ10" s="32" t="e">
        <f ca="1">$B$72/DZ3*$B10*#REF!</f>
        <v>#REF!</v>
      </c>
      <c r="EA10" s="34" t="e">
        <f t="shared" ref="EA10:EA17" si="165">$B10*#REF!</f>
        <v>#REF!</v>
      </c>
      <c r="EB10" s="34" t="e">
        <f t="shared" ref="EB10:EB17" si="166">$AA10*#REF!</f>
        <v>#REF!</v>
      </c>
      <c r="EC10" s="32" t="e">
        <f t="shared" ref="EC10:ED17" si="167">$B10*#REF!</f>
        <v>#REF!</v>
      </c>
      <c r="ED10" s="34" t="e">
        <f t="shared" ref="ED10:EE17" si="168">$B10*#REF!</f>
        <v>#REF!</v>
      </c>
      <c r="EE10" s="31" t="e">
        <f t="shared" ref="EE10:EE17" si="169">$B10*#REF!</f>
        <v>#REF!</v>
      </c>
    </row>
    <row r="11" spans="1:135" x14ac:dyDescent="0.25">
      <c r="A11" s="5" t="s">
        <v>128</v>
      </c>
      <c r="B11" s="32">
        <f>IF([1]Inputs!$E$16=1,[1]Inputs!F1213,IF([1]Inputs!$E$16=2,[1]Inputs!G1213,[1]Inputs!H1213))</f>
        <v>0</v>
      </c>
      <c r="C11" s="32" t="e">
        <f t="shared" ref="C11:N11" si="170">$B11*#REF!</f>
        <v>#REF!</v>
      </c>
      <c r="D11" s="32" t="e">
        <f t="shared" ref="D11:O11" si="171">$B11*#REF!</f>
        <v>#REF!</v>
      </c>
      <c r="E11" s="32" t="e">
        <f t="shared" ref="E11:P11" si="172">$B11*#REF!</f>
        <v>#REF!</v>
      </c>
      <c r="F11" s="32" t="e">
        <f t="shared" ref="F11:Q11" si="173">$B11*#REF!</f>
        <v>#REF!</v>
      </c>
      <c r="G11" s="32" t="e">
        <f t="shared" ref="G11:R11" si="174">$B11*#REF!</f>
        <v>#REF!</v>
      </c>
      <c r="H11" s="32" t="e">
        <f t="shared" ref="H11:S11" si="175">$B11*#REF!</f>
        <v>#REF!</v>
      </c>
      <c r="I11" s="32" t="e">
        <f t="shared" ref="I11:T11" si="176">$B11*#REF!</f>
        <v>#REF!</v>
      </c>
      <c r="J11" s="32" t="e">
        <f t="shared" ref="J11:U11" si="177">$B11*#REF!</f>
        <v>#REF!</v>
      </c>
      <c r="K11" s="32" t="e">
        <f>$B11*#REF!</f>
        <v>#REF!</v>
      </c>
      <c r="L11" s="32" t="e">
        <f t="shared" ref="L11:W11" si="178">$B11*#REF!</f>
        <v>#REF!</v>
      </c>
      <c r="M11" s="32" t="e">
        <f t="shared" ref="M11:X11" si="179">$B11*#REF!</f>
        <v>#REF!</v>
      </c>
      <c r="N11" s="32" t="e">
        <f t="shared" ref="N11:Y11" si="180">$B11*#REF!</f>
        <v>#REF!</v>
      </c>
      <c r="O11" s="32" t="e">
        <f t="shared" ref="O11:P18" si="181">$B11*#REF!</f>
        <v>#REF!</v>
      </c>
      <c r="P11" s="32" t="e">
        <f t="shared" ref="P11:Q18" si="182">$B11*#REF!</f>
        <v>#REF!</v>
      </c>
      <c r="Q11" s="32" t="e">
        <f>$B11*#REF!</f>
        <v>#REF!</v>
      </c>
      <c r="R11" s="32" t="e">
        <f>$B11*#REF!</f>
        <v>#REF!</v>
      </c>
      <c r="S11" s="32">
        <f t="shared" ref="S11:U22" si="183">$B11</f>
        <v>0</v>
      </c>
      <c r="T11" s="32">
        <f t="shared" si="183"/>
        <v>0</v>
      </c>
      <c r="U11" s="32">
        <f t="shared" si="183"/>
        <v>0</v>
      </c>
      <c r="V11" s="33" t="e">
        <f t="shared" ref="V11:Z18" si="184">$B11*#REF!</f>
        <v>#REF!</v>
      </c>
      <c r="W11" s="32" t="e">
        <f t="shared" ref="W11:AA18" si="185">$B11*#REF!</f>
        <v>#REF!</v>
      </c>
      <c r="X11" s="32" t="e">
        <f t="shared" ref="X11:AB18" si="186">$B11*#REF!</f>
        <v>#REF!</v>
      </c>
      <c r="Y11" s="32" t="e">
        <f t="shared" ref="Y11:AC18" si="187">$B11*#REF!</f>
        <v>#REF!</v>
      </c>
      <c r="Z11" s="34" t="e">
        <f t="shared" ref="Z11:AD18" si="188">$B11*#REF!</f>
        <v>#REF!</v>
      </c>
      <c r="AA11" s="32">
        <f>IF([1]Inputs!$E$16=1,[1]Inputs!I1213,IF([1]Inputs!$E$16=2,[1]Inputs!J1213,[1]Inputs!K1213))</f>
        <v>0</v>
      </c>
      <c r="AB11" s="32" t="e">
        <f t="shared" ref="AB11:AG18" si="189">$AA11*#REF!</f>
        <v>#REF!</v>
      </c>
      <c r="AC11" s="32" t="e">
        <f t="shared" ref="AC11:AH18" si="190">$AA11*#REF!</f>
        <v>#REF!</v>
      </c>
      <c r="AD11" s="32" t="e">
        <f t="shared" ref="AD11:AI18" si="191">$AA11*#REF!</f>
        <v>#REF!</v>
      </c>
      <c r="AE11" s="32" t="e">
        <f t="shared" ref="AE11:AJ18" si="192">$AA11*#REF!</f>
        <v>#REF!</v>
      </c>
      <c r="AF11" s="32" t="e">
        <f t="shared" ref="AF11:AK18" si="193">$AA11*#REF!</f>
        <v>#REF!</v>
      </c>
      <c r="AG11" s="32" t="e">
        <f t="shared" ref="AG11:AL18" si="194">$AA11*#REF!</f>
        <v>#REF!</v>
      </c>
      <c r="AH11" s="33" t="e">
        <f t="shared" ref="AH11:AQ18" si="195">$B11*#REF!</f>
        <v>#REF!</v>
      </c>
      <c r="AI11" s="32" t="e">
        <f t="shared" ref="AI11:AR18" si="196">$B11*#REF!</f>
        <v>#REF!</v>
      </c>
      <c r="AJ11" s="32" t="e">
        <f t="shared" ref="AJ11:AS18" si="197">$B11*#REF!</f>
        <v>#REF!</v>
      </c>
      <c r="AK11" s="32" t="e">
        <f t="shared" ref="AK11:AT18" si="198">$B11*#REF!</f>
        <v>#REF!</v>
      </c>
      <c r="AL11" s="32" t="e">
        <f t="shared" ref="AL11:AU18" si="199">$B11*#REF!</f>
        <v>#REF!</v>
      </c>
      <c r="AM11" s="32" t="e">
        <f t="shared" ref="AM11:AV18" si="200">$B11*#REF!</f>
        <v>#REF!</v>
      </c>
      <c r="AN11" s="32" t="e">
        <f t="shared" ref="AN11:AW18" si="201">$B11*#REF!</f>
        <v>#REF!</v>
      </c>
      <c r="AO11" s="32" t="e">
        <f t="shared" ref="AO11:AX18" si="202">$B11*#REF!</f>
        <v>#REF!</v>
      </c>
      <c r="AP11" s="32" t="e">
        <f t="shared" ref="AP11:AY18" si="203">$B11*#REF!</f>
        <v>#REF!</v>
      </c>
      <c r="AQ11" s="32" t="e">
        <f t="shared" ref="AQ11:AZ18" si="204">$B11*#REF!</f>
        <v>#REF!</v>
      </c>
      <c r="AR11" s="34" t="e">
        <f t="shared" ref="AR11:AR18" si="205">$B11*#REF!</f>
        <v>#REF!</v>
      </c>
      <c r="AS11" s="32" t="e">
        <f t="shared" si="99"/>
        <v>#DIV/0!</v>
      </c>
      <c r="AT11" s="32" t="e">
        <f t="shared" ref="AT11:AT18" si="206">$B11*#REF!</f>
        <v>#REF!</v>
      </c>
      <c r="AU11" s="32" t="e">
        <f t="shared" ref="AU11:AU18" si="207">$B$72/AU$72*$B11*#REF!</f>
        <v>#DIV/0!</v>
      </c>
      <c r="AV11" s="32" t="e">
        <f t="shared" ref="AV11:AV18" si="208">$B11*#REF!</f>
        <v>#REF!</v>
      </c>
      <c r="AW11" s="33" t="e">
        <f t="shared" si="103"/>
        <v>#DIV/0!</v>
      </c>
      <c r="AX11" s="32" t="e">
        <f t="shared" ref="AX11:AX18" si="209">$B11*#REF!</f>
        <v>#REF!</v>
      </c>
      <c r="AY11" s="32" t="e">
        <f t="shared" ref="AY11:AY18" si="210">$B$72/AY$72*$B11*#REF!</f>
        <v>#DIV/0!</v>
      </c>
      <c r="AZ11" s="34" t="e">
        <f t="shared" ref="AZ11:AZ18" si="211">$B11*#REF!</f>
        <v>#REF!</v>
      </c>
      <c r="BA11" s="33" t="e">
        <f t="shared" si="58"/>
        <v>#DIV/0!</v>
      </c>
      <c r="BB11" s="32" t="e">
        <f t="shared" ref="BB11:BB18" si="212">$B11*#REF!</f>
        <v>#REF!</v>
      </c>
      <c r="BC11" s="32" t="e">
        <f t="shared" ref="BC11:BC18" si="213">$B$72/BC$72*$B11*#REF!</f>
        <v>#DIV/0!</v>
      </c>
      <c r="BD11" s="34" t="e">
        <f t="shared" ref="BD11:BD18" si="214">$B11*#REF!</f>
        <v>#REF!</v>
      </c>
      <c r="BE11" s="32" t="e">
        <f t="shared" ca="1" si="110"/>
        <v>#REF!</v>
      </c>
      <c r="BF11" s="32" t="e">
        <f t="shared" ref="BF11:BF18" si="215">$B11*#REF!</f>
        <v>#REF!</v>
      </c>
      <c r="BG11" s="32" t="e">
        <f ca="1">$B$72/BG3*$B11*#REF!</f>
        <v>#REF!</v>
      </c>
      <c r="BH11" s="32" t="e">
        <f t="shared" ref="BH11:BH18" si="216">$B11*#REF!</f>
        <v>#REF!</v>
      </c>
      <c r="BI11" s="33" t="e">
        <f t="shared" ca="1" si="113"/>
        <v>#REF!</v>
      </c>
      <c r="BJ11" s="32" t="e">
        <f t="shared" ref="BJ11:BJ18" si="217">$B11*#REF!</f>
        <v>#REF!</v>
      </c>
      <c r="BK11" s="32" t="e">
        <f ca="1">$B$72/BK3*$B11*#REF!</f>
        <v>#REF!</v>
      </c>
      <c r="BL11" s="34" t="e">
        <f t="shared" ref="BL11:BL18" si="218">$B11*#REF!</f>
        <v>#REF!</v>
      </c>
      <c r="BM11" s="32" t="e">
        <f t="shared" ca="1" si="116"/>
        <v>#REF!</v>
      </c>
      <c r="BN11" s="32" t="e">
        <f t="shared" ref="BN11:BN18" si="219">$B11*#REF!</f>
        <v>#REF!</v>
      </c>
      <c r="BO11" s="32" t="e">
        <f ca="1">$B$72/BO3*$B11*#REF!</f>
        <v>#REF!</v>
      </c>
      <c r="BP11" s="32" t="e">
        <f t="shared" ref="BP11:BP18" si="220">$B11*#REF!</f>
        <v>#REF!</v>
      </c>
      <c r="BQ11" s="33" t="e">
        <f t="shared" ca="1" si="119"/>
        <v>#REF!</v>
      </c>
      <c r="BR11" s="32" t="e">
        <f t="shared" ref="BR11:BR18" si="221">$B11*#REF!</f>
        <v>#REF!</v>
      </c>
      <c r="BS11" s="32" t="e">
        <f ca="1">$B$72/BS3*$B11*#REF!</f>
        <v>#REF!</v>
      </c>
      <c r="BT11" s="34" t="e">
        <f t="shared" ref="BT11:BT18" si="222">$B11*#REF!</f>
        <v>#REF!</v>
      </c>
      <c r="BU11" s="32" t="e">
        <f t="shared" ca="1" si="122"/>
        <v>#REF!</v>
      </c>
      <c r="BV11" s="32" t="e">
        <f t="shared" ref="BV11:BV18" si="223">$B11*#REF!</f>
        <v>#REF!</v>
      </c>
      <c r="BW11" s="32" t="e">
        <f ca="1">$B$72/BW3*$B11*#REF!</f>
        <v>#REF!</v>
      </c>
      <c r="BX11" s="32" t="e">
        <f t="shared" ref="BX11:BX18" si="224">$B11*#REF!</f>
        <v>#REF!</v>
      </c>
      <c r="BY11" s="33" t="e">
        <f t="shared" ca="1" si="125"/>
        <v>#REF!</v>
      </c>
      <c r="BZ11" s="32" t="e">
        <f t="shared" ref="BZ11:BZ18" si="225">$B11*#REF!</f>
        <v>#REF!</v>
      </c>
      <c r="CA11" s="32" t="e">
        <f ca="1">$B$72/CA3*$B11*#REF!</f>
        <v>#REF!</v>
      </c>
      <c r="CB11" s="34" t="e">
        <f t="shared" ref="CB11:CB18" si="226">$B11*#REF!</f>
        <v>#REF!</v>
      </c>
      <c r="CC11" s="32" t="e">
        <f t="shared" ca="1" si="128"/>
        <v>#REF!</v>
      </c>
      <c r="CD11" s="32" t="e">
        <f t="shared" ref="CD11:CD18" si="227">$B11*#REF!</f>
        <v>#REF!</v>
      </c>
      <c r="CE11" s="32" t="e">
        <f ca="1">$B$72/CE3*$B11*#REF!</f>
        <v>#REF!</v>
      </c>
      <c r="CF11" s="32" t="e">
        <f t="shared" ref="CF11:CF18" si="228">$B11*#REF!</f>
        <v>#REF!</v>
      </c>
      <c r="CG11" s="32" t="e">
        <f t="shared" ref="CG11:CG18" si="229">$B11*#REF!</f>
        <v>#REF!</v>
      </c>
      <c r="CH11" s="33" t="e">
        <f t="shared" ref="CH11:CM18" si="230">$AA11*#REF!</f>
        <v>#REF!</v>
      </c>
      <c r="CI11" s="32" t="e">
        <f t="shared" ref="CI11:CN18" si="231">$AA11*#REF!</f>
        <v>#REF!</v>
      </c>
      <c r="CJ11" s="32" t="e">
        <f t="shared" ref="CJ11:CO18" si="232">$AA11*#REF!</f>
        <v>#REF!</v>
      </c>
      <c r="CK11" s="32" t="e">
        <f t="shared" ref="CK11:CP18" si="233">$AA11*#REF!</f>
        <v>#REF!</v>
      </c>
      <c r="CL11" s="32" t="e">
        <f t="shared" ref="CL11:CQ18" si="234">$AA11*#REF!</f>
        <v>#REF!</v>
      </c>
      <c r="CM11" s="34" t="e">
        <f t="shared" ref="CM11:CR18" si="235">$AA11*#REF!</f>
        <v>#REF!</v>
      </c>
      <c r="CN11" s="32" t="e">
        <f t="shared" ca="1" si="138"/>
        <v>#REF!</v>
      </c>
      <c r="CO11" s="32" t="e">
        <f t="shared" ref="CO11:CO18" si="236">$B11*#REF!</f>
        <v>#REF!</v>
      </c>
      <c r="CP11" s="32" t="e">
        <f ca="1">$B$72/CP3*$AA11*#REF!</f>
        <v>#REF!</v>
      </c>
      <c r="CQ11" s="32" t="e">
        <f t="shared" ref="CQ11:CQ18" si="237">$AA11*#REF!</f>
        <v>#REF!</v>
      </c>
      <c r="CR11" s="33" t="e">
        <f t="shared" ca="1" si="53"/>
        <v>#REF!</v>
      </c>
      <c r="CS11" s="32" t="e">
        <f t="shared" ref="CS11:CS18" si="238">$B11*#REF!</f>
        <v>#REF!</v>
      </c>
      <c r="CT11" s="32" t="e">
        <f ca="1">$B$72/CT3*$AA11*#REF!</f>
        <v>#REF!</v>
      </c>
      <c r="CU11" s="34" t="e">
        <f t="shared" ref="CU11:CU18" si="239">$AA11*#REF!</f>
        <v>#REF!</v>
      </c>
      <c r="CV11" s="32" t="e">
        <f t="shared" ca="1" si="54"/>
        <v>#REF!</v>
      </c>
      <c r="CW11" s="32" t="e">
        <f t="shared" ref="CW11:CW18" si="240">$B11*#REF!</f>
        <v>#REF!</v>
      </c>
      <c r="CX11" s="32" t="e">
        <f ca="1">$B$72/CX3*$AA11*#REF!</f>
        <v>#REF!</v>
      </c>
      <c r="CY11" s="32" t="e">
        <f t="shared" ref="CY11:CY18" si="241">$AA11*#REF!</f>
        <v>#REF!</v>
      </c>
      <c r="CZ11" s="33" t="e">
        <f t="shared" ca="1" si="55"/>
        <v>#REF!</v>
      </c>
      <c r="DA11" s="32" t="e">
        <f t="shared" ref="DA11:DA18" si="242">$B11*#REF!</f>
        <v>#REF!</v>
      </c>
      <c r="DB11" s="32" t="e">
        <f ca="1">$B$72/DB3*$AA11*#REF!</f>
        <v>#REF!</v>
      </c>
      <c r="DC11" s="34" t="e">
        <f t="shared" ref="DC11:DC18" si="243">$AA11*#REF!</f>
        <v>#REF!</v>
      </c>
      <c r="DD11" s="32" t="e">
        <f t="shared" ca="1" si="56"/>
        <v>#REF!</v>
      </c>
      <c r="DE11" s="32" t="e">
        <f t="shared" ref="DE11:DE18" si="244">$B11*#REF!</f>
        <v>#REF!</v>
      </c>
      <c r="DF11" s="32" t="e">
        <f ca="1">$B$72/DF3*$AA11*#REF!</f>
        <v>#REF!</v>
      </c>
      <c r="DG11" s="34" t="e">
        <f t="shared" ref="DG11:DG18" si="245">$AA11*#REF!</f>
        <v>#REF!</v>
      </c>
      <c r="DH11" s="32" t="e">
        <f t="shared" ca="1" si="57"/>
        <v>#REF!</v>
      </c>
      <c r="DI11" s="32" t="e">
        <f t="shared" ref="DI11:DI18" si="246">$B11*#REF!</f>
        <v>#REF!</v>
      </c>
      <c r="DJ11" s="32" t="e">
        <f ca="1">$B$72/DJ3*$AA11*#REF!</f>
        <v>#REF!</v>
      </c>
      <c r="DK11" s="32" t="e">
        <f t="shared" ref="DK11:DK18" si="247">$AA11*#REF!</f>
        <v>#REF!</v>
      </c>
      <c r="DL11" s="33" t="e">
        <f t="shared" ref="DL11:DM18" si="248">$B11*#REF!</f>
        <v>#REF!</v>
      </c>
      <c r="DM11" s="32" t="e">
        <f t="shared" ref="DM11:DN18" si="249">$B11*#REF!</f>
        <v>#REF!</v>
      </c>
      <c r="DN11" s="32" t="e">
        <f t="shared" ref="DN11:DW18" si="250">$B11*#REF!</f>
        <v>#REF!</v>
      </c>
      <c r="DO11" s="32" t="e">
        <f t="shared" ref="DO11:DX18" si="251">$B11*#REF!</f>
        <v>#REF!</v>
      </c>
      <c r="DP11" s="32" t="e">
        <f t="shared" ref="DP11:DY18" si="252">$B11*#REF!</f>
        <v>#REF!</v>
      </c>
      <c r="DQ11" s="32" t="e">
        <f t="shared" ref="DQ11:DZ18" si="253">$B11*#REF!</f>
        <v>#REF!</v>
      </c>
      <c r="DR11" s="32" t="e">
        <f t="shared" ref="DR11:EA18" si="254">$B11*#REF!</f>
        <v>#REF!</v>
      </c>
      <c r="DS11" s="32" t="e">
        <f t="shared" ref="DS11:EB18" si="255">$B11*#REF!</f>
        <v>#REF!</v>
      </c>
      <c r="DT11" s="32" t="e">
        <f t="shared" ref="DT11:EC18" si="256">$B11*#REF!</f>
        <v>#REF!</v>
      </c>
      <c r="DU11" s="32" t="e">
        <f t="shared" ref="DU11:ED18" si="257">$B11*#REF!</f>
        <v>#REF!</v>
      </c>
      <c r="DV11" s="32" t="e">
        <f t="shared" ref="DV11:EE18" si="258">$B11*#REF!</f>
        <v>#REF!</v>
      </c>
      <c r="DW11" s="34" t="e">
        <f t="shared" ref="DW11:EE18" si="259">$B11*#REF!</f>
        <v>#REF!</v>
      </c>
      <c r="DX11" s="32" t="e">
        <f t="shared" ca="1" si="163"/>
        <v>#REF!</v>
      </c>
      <c r="DY11" s="32" t="e">
        <f t="shared" ref="DY11:DY18" si="260">$B11*#REF!</f>
        <v>#REF!</v>
      </c>
      <c r="DZ11" s="32" t="e">
        <f ca="1">$B$72/DZ3*$B11*#REF!</f>
        <v>#REF!</v>
      </c>
      <c r="EA11" s="34" t="e">
        <f t="shared" ref="EA11:EA18" si="261">$B11*#REF!</f>
        <v>#REF!</v>
      </c>
      <c r="EB11" s="34" t="e">
        <f t="shared" ref="EB11:EB18" si="262">$AA11*#REF!</f>
        <v>#REF!</v>
      </c>
      <c r="EC11" s="32" t="e">
        <f t="shared" ref="EC11:ED18" si="263">$B11*#REF!</f>
        <v>#REF!</v>
      </c>
      <c r="ED11" s="34" t="e">
        <f t="shared" ref="ED11:EE18" si="264">$B11*#REF!</f>
        <v>#REF!</v>
      </c>
      <c r="EE11" s="31" t="e">
        <f t="shared" ref="EE11:EE18" si="265">$B11*#REF!</f>
        <v>#REF!</v>
      </c>
    </row>
    <row r="12" spans="1:135" x14ac:dyDescent="0.25">
      <c r="A12" s="5" t="s">
        <v>129</v>
      </c>
      <c r="B12" s="32">
        <f>IF([1]Inputs!$E$16=1,[1]Inputs!F1214,IF([1]Inputs!$E$16=2,[1]Inputs!G1214,[1]Inputs!H1214))</f>
        <v>0</v>
      </c>
      <c r="C12" s="32" t="e">
        <f t="shared" ref="C12:N12" si="266">$B12*#REF!</f>
        <v>#REF!</v>
      </c>
      <c r="D12" s="32" t="e">
        <f t="shared" ref="D12:O12" si="267">$B12*#REF!</f>
        <v>#REF!</v>
      </c>
      <c r="E12" s="32" t="e">
        <f t="shared" ref="E12:P12" si="268">$B12*#REF!</f>
        <v>#REF!</v>
      </c>
      <c r="F12" s="32" t="e">
        <f t="shared" ref="F12:Q12" si="269">$B12*#REF!</f>
        <v>#REF!</v>
      </c>
      <c r="G12" s="32" t="e">
        <f t="shared" ref="G12:R12" si="270">$B12*#REF!</f>
        <v>#REF!</v>
      </c>
      <c r="H12" s="32" t="e">
        <f t="shared" ref="H12:S12" si="271">$B12*#REF!</f>
        <v>#REF!</v>
      </c>
      <c r="I12" s="32" t="e">
        <f t="shared" ref="I12:T12" si="272">$B12*#REF!</f>
        <v>#REF!</v>
      </c>
      <c r="J12" s="32" t="e">
        <f t="shared" ref="J12:U12" si="273">$B12*#REF!</f>
        <v>#REF!</v>
      </c>
      <c r="K12" s="32" t="e">
        <f t="shared" ref="K12:V12" si="274">$B12*#REF!</f>
        <v>#REF!</v>
      </c>
      <c r="L12" s="32" t="e">
        <f t="shared" ref="L12:W12" si="275">$B12*#REF!</f>
        <v>#REF!</v>
      </c>
      <c r="M12" s="32" t="e">
        <f t="shared" ref="M12:X12" si="276">$B12*#REF!</f>
        <v>#REF!</v>
      </c>
      <c r="N12" s="32" t="e">
        <f t="shared" ref="N12:Y12" si="277">$B12*#REF!</f>
        <v>#REF!</v>
      </c>
      <c r="O12" s="32" t="e">
        <f t="shared" ref="O12:P19" si="278">$B12*#REF!</f>
        <v>#REF!</v>
      </c>
      <c r="P12" s="32" t="e">
        <f t="shared" ref="P12:Q19" si="279">$B12*#REF!</f>
        <v>#REF!</v>
      </c>
      <c r="Q12" s="32" t="e">
        <f t="shared" ref="Q12:Q17" si="280">$B12*#REF!</f>
        <v>#REF!</v>
      </c>
      <c r="R12" s="32" t="e">
        <f t="shared" ref="R12:R17" si="281">$B12*#REF!</f>
        <v>#REF!</v>
      </c>
      <c r="S12" s="32">
        <f t="shared" si="183"/>
        <v>0</v>
      </c>
      <c r="T12" s="32">
        <f t="shared" si="183"/>
        <v>0</v>
      </c>
      <c r="U12" s="32">
        <f t="shared" si="183"/>
        <v>0</v>
      </c>
      <c r="V12" s="33" t="e">
        <f t="shared" ref="V12:Z19" si="282">$B12*#REF!</f>
        <v>#REF!</v>
      </c>
      <c r="W12" s="32" t="e">
        <f t="shared" ref="W12:AA19" si="283">$B12*#REF!</f>
        <v>#REF!</v>
      </c>
      <c r="X12" s="32" t="e">
        <f t="shared" ref="X12:AB19" si="284">$B12*#REF!</f>
        <v>#REF!</v>
      </c>
      <c r="Y12" s="32" t="e">
        <f t="shared" ref="Y12:AC19" si="285">$B12*#REF!</f>
        <v>#REF!</v>
      </c>
      <c r="Z12" s="34" t="e">
        <f t="shared" ref="Z12:AD19" si="286">$B12*#REF!</f>
        <v>#REF!</v>
      </c>
      <c r="AA12" s="32">
        <f>IF([1]Inputs!$E$16=1,[1]Inputs!I1214,IF([1]Inputs!$E$16=2,[1]Inputs!J1214,[1]Inputs!K1214))</f>
        <v>0</v>
      </c>
      <c r="AB12" s="32" t="e">
        <f t="shared" ref="AB12:AG19" si="287">$AA12*#REF!</f>
        <v>#REF!</v>
      </c>
      <c r="AC12" s="32" t="e">
        <f t="shared" ref="AC12:AH19" si="288">$AA12*#REF!</f>
        <v>#REF!</v>
      </c>
      <c r="AD12" s="32" t="e">
        <f t="shared" ref="AD12:AI19" si="289">$AA12*#REF!</f>
        <v>#REF!</v>
      </c>
      <c r="AE12" s="32" t="e">
        <f t="shared" ref="AE12:AJ19" si="290">$AA12*#REF!</f>
        <v>#REF!</v>
      </c>
      <c r="AF12" s="32" t="e">
        <f t="shared" ref="AF12:AK19" si="291">$AA12*#REF!</f>
        <v>#REF!</v>
      </c>
      <c r="AG12" s="32" t="e">
        <f t="shared" ref="AG12:AL19" si="292">$AA12*#REF!</f>
        <v>#REF!</v>
      </c>
      <c r="AH12" s="33" t="e">
        <f t="shared" ref="AH12:AQ19" si="293">$B12*#REF!</f>
        <v>#REF!</v>
      </c>
      <c r="AI12" s="32" t="e">
        <f t="shared" ref="AI12:AR19" si="294">$B12*#REF!</f>
        <v>#REF!</v>
      </c>
      <c r="AJ12" s="32" t="e">
        <f t="shared" ref="AJ12:AS19" si="295">$B12*#REF!</f>
        <v>#REF!</v>
      </c>
      <c r="AK12" s="32" t="e">
        <f t="shared" ref="AK12:AT19" si="296">$B12*#REF!</f>
        <v>#REF!</v>
      </c>
      <c r="AL12" s="32" t="e">
        <f t="shared" ref="AL12:AU19" si="297">$B12*#REF!</f>
        <v>#REF!</v>
      </c>
      <c r="AM12" s="32" t="e">
        <f t="shared" ref="AM12:AV19" si="298">$B12*#REF!</f>
        <v>#REF!</v>
      </c>
      <c r="AN12" s="32" t="e">
        <f t="shared" ref="AN12:AW19" si="299">$B12*#REF!</f>
        <v>#REF!</v>
      </c>
      <c r="AO12" s="32" t="e">
        <f t="shared" ref="AO12:AX19" si="300">$B12*#REF!</f>
        <v>#REF!</v>
      </c>
      <c r="AP12" s="32" t="e">
        <f t="shared" ref="AP12:AY19" si="301">$B12*#REF!</f>
        <v>#REF!</v>
      </c>
      <c r="AQ12" s="32" t="e">
        <f t="shared" ref="AQ12:AZ19" si="302">$B12*#REF!</f>
        <v>#REF!</v>
      </c>
      <c r="AR12" s="34" t="e">
        <f t="shared" ref="AR12:AR19" si="303">$B12*#REF!</f>
        <v>#REF!</v>
      </c>
      <c r="AS12" s="32" t="e">
        <f t="shared" si="99"/>
        <v>#DIV/0!</v>
      </c>
      <c r="AT12" s="32" t="e">
        <f t="shared" ref="AT12:AT19" si="304">$B12*#REF!</f>
        <v>#REF!</v>
      </c>
      <c r="AU12" s="32" t="e">
        <f t="shared" ref="AU12:AU19" si="305">$B$72/AU$72*$B12*#REF!</f>
        <v>#DIV/0!</v>
      </c>
      <c r="AV12" s="32" t="e">
        <f t="shared" ref="AV12:AV19" si="306">$B12*#REF!</f>
        <v>#REF!</v>
      </c>
      <c r="AW12" s="33" t="e">
        <f t="shared" si="103"/>
        <v>#DIV/0!</v>
      </c>
      <c r="AX12" s="32" t="e">
        <f t="shared" ref="AX12:AX19" si="307">$B12*#REF!</f>
        <v>#REF!</v>
      </c>
      <c r="AY12" s="32" t="e">
        <f t="shared" ref="AY12:AY19" si="308">$B$72/AY$72*$B12*#REF!</f>
        <v>#DIV/0!</v>
      </c>
      <c r="AZ12" s="34" t="e">
        <f t="shared" ref="AZ12:AZ19" si="309">$B12*#REF!</f>
        <v>#REF!</v>
      </c>
      <c r="BA12" s="33" t="e">
        <f t="shared" si="58"/>
        <v>#DIV/0!</v>
      </c>
      <c r="BB12" s="32" t="e">
        <f t="shared" ref="BB12:BB19" si="310">$B12*#REF!</f>
        <v>#REF!</v>
      </c>
      <c r="BC12" s="32" t="e">
        <f t="shared" ref="BC12:BC19" si="311">$B$72/BC$72*$B12*#REF!</f>
        <v>#DIV/0!</v>
      </c>
      <c r="BD12" s="34" t="e">
        <f t="shared" ref="BD12:BD19" si="312">$B12*#REF!</f>
        <v>#REF!</v>
      </c>
      <c r="BE12" s="32" t="e">
        <f t="shared" ca="1" si="110"/>
        <v>#REF!</v>
      </c>
      <c r="BF12" s="32" t="e">
        <f t="shared" ref="BF12:BF19" si="313">$B12*#REF!</f>
        <v>#REF!</v>
      </c>
      <c r="BG12" s="32" t="e">
        <f ca="1">$B$72/BG3*$B12*#REF!</f>
        <v>#REF!</v>
      </c>
      <c r="BH12" s="32" t="e">
        <f t="shared" ref="BH12:BH19" si="314">$B12*#REF!</f>
        <v>#REF!</v>
      </c>
      <c r="BI12" s="33" t="e">
        <f t="shared" ca="1" si="113"/>
        <v>#REF!</v>
      </c>
      <c r="BJ12" s="32" t="e">
        <f t="shared" ref="BJ12:BJ19" si="315">$B12*#REF!</f>
        <v>#REF!</v>
      </c>
      <c r="BK12" s="32" t="e">
        <f ca="1">$B$72/BK3*$B12*#REF!</f>
        <v>#REF!</v>
      </c>
      <c r="BL12" s="34" t="e">
        <f t="shared" ref="BL12:BL19" si="316">$B12*#REF!</f>
        <v>#REF!</v>
      </c>
      <c r="BM12" s="32" t="e">
        <f t="shared" ca="1" si="116"/>
        <v>#REF!</v>
      </c>
      <c r="BN12" s="32" t="e">
        <f t="shared" ref="BN12:BN19" si="317">$B12*#REF!</f>
        <v>#REF!</v>
      </c>
      <c r="BO12" s="32" t="e">
        <f ca="1">$B$72/BO3*$B12*#REF!</f>
        <v>#REF!</v>
      </c>
      <c r="BP12" s="32" t="e">
        <f t="shared" ref="BP12:BP19" si="318">$B12*#REF!</f>
        <v>#REF!</v>
      </c>
      <c r="BQ12" s="33" t="e">
        <f t="shared" ca="1" si="119"/>
        <v>#REF!</v>
      </c>
      <c r="BR12" s="32" t="e">
        <f t="shared" ref="BR12:BR19" si="319">$B12*#REF!</f>
        <v>#REF!</v>
      </c>
      <c r="BS12" s="32" t="e">
        <f ca="1">$B$72/BS3*$B12*#REF!</f>
        <v>#REF!</v>
      </c>
      <c r="BT12" s="34" t="e">
        <f t="shared" ref="BT12:BT19" si="320">$B12*#REF!</f>
        <v>#REF!</v>
      </c>
      <c r="BU12" s="32" t="e">
        <f t="shared" ca="1" si="122"/>
        <v>#REF!</v>
      </c>
      <c r="BV12" s="32" t="e">
        <f t="shared" ref="BV12:BV19" si="321">$B12*#REF!</f>
        <v>#REF!</v>
      </c>
      <c r="BW12" s="32" t="e">
        <f ca="1">$B$72/BW3*$B12*#REF!</f>
        <v>#REF!</v>
      </c>
      <c r="BX12" s="32" t="e">
        <f t="shared" ref="BX12:BX19" si="322">$B12*#REF!</f>
        <v>#REF!</v>
      </c>
      <c r="BY12" s="33" t="e">
        <f t="shared" ca="1" si="125"/>
        <v>#REF!</v>
      </c>
      <c r="BZ12" s="32" t="e">
        <f t="shared" ref="BZ12:BZ19" si="323">$B12*#REF!</f>
        <v>#REF!</v>
      </c>
      <c r="CA12" s="32" t="e">
        <f ca="1">$B$72/CA3*$B12*#REF!</f>
        <v>#REF!</v>
      </c>
      <c r="CB12" s="34" t="e">
        <f t="shared" ref="CB12:CB19" si="324">$B12*#REF!</f>
        <v>#REF!</v>
      </c>
      <c r="CC12" s="32" t="e">
        <f t="shared" ca="1" si="128"/>
        <v>#REF!</v>
      </c>
      <c r="CD12" s="32" t="e">
        <f t="shared" ref="CD12:CD19" si="325">$B12*#REF!</f>
        <v>#REF!</v>
      </c>
      <c r="CE12" s="32" t="e">
        <f ca="1">$B$72/CE3*$B12*#REF!</f>
        <v>#REF!</v>
      </c>
      <c r="CF12" s="32" t="e">
        <f t="shared" ref="CF12:CF19" si="326">$B12*#REF!</f>
        <v>#REF!</v>
      </c>
      <c r="CG12" s="32" t="e">
        <f t="shared" ref="CG12:CG19" si="327">$B12*#REF!</f>
        <v>#REF!</v>
      </c>
      <c r="CH12" s="33" t="e">
        <f t="shared" ref="CH12:CM19" si="328">$AA12*#REF!</f>
        <v>#REF!</v>
      </c>
      <c r="CI12" s="32" t="e">
        <f t="shared" ref="CI12:CN19" si="329">$AA12*#REF!</f>
        <v>#REF!</v>
      </c>
      <c r="CJ12" s="32" t="e">
        <f t="shared" ref="CJ12:CO19" si="330">$AA12*#REF!</f>
        <v>#REF!</v>
      </c>
      <c r="CK12" s="32" t="e">
        <f t="shared" ref="CK12:CP19" si="331">$AA12*#REF!</f>
        <v>#REF!</v>
      </c>
      <c r="CL12" s="32" t="e">
        <f t="shared" ref="CL12:CQ19" si="332">$AA12*#REF!</f>
        <v>#REF!</v>
      </c>
      <c r="CM12" s="34" t="e">
        <f t="shared" ref="CM12:CR19" si="333">$AA12*#REF!</f>
        <v>#REF!</v>
      </c>
      <c r="CN12" s="32" t="e">
        <f t="shared" ca="1" si="138"/>
        <v>#REF!</v>
      </c>
      <c r="CO12" s="32" t="e">
        <f t="shared" ref="CO12:CO19" si="334">$B12*#REF!</f>
        <v>#REF!</v>
      </c>
      <c r="CP12" s="32" t="e">
        <f ca="1">$B$72/CP3*$AA12*#REF!</f>
        <v>#REF!</v>
      </c>
      <c r="CQ12" s="32" t="e">
        <f t="shared" ref="CQ12:CQ19" si="335">$AA12*#REF!</f>
        <v>#REF!</v>
      </c>
      <c r="CR12" s="33" t="e">
        <f t="shared" ca="1" si="53"/>
        <v>#REF!</v>
      </c>
      <c r="CS12" s="32" t="e">
        <f t="shared" ref="CS12:CS19" si="336">$B12*#REF!</f>
        <v>#REF!</v>
      </c>
      <c r="CT12" s="32" t="e">
        <f ca="1">$B$72/CT3*$AA12*#REF!</f>
        <v>#REF!</v>
      </c>
      <c r="CU12" s="34" t="e">
        <f t="shared" ref="CU12:CU19" si="337">$AA12*#REF!</f>
        <v>#REF!</v>
      </c>
      <c r="CV12" s="32" t="e">
        <f t="shared" ca="1" si="54"/>
        <v>#REF!</v>
      </c>
      <c r="CW12" s="32" t="e">
        <f t="shared" ref="CW12:CW19" si="338">$B12*#REF!</f>
        <v>#REF!</v>
      </c>
      <c r="CX12" s="32" t="e">
        <f ca="1">$B$72/CX3*$AA12*#REF!</f>
        <v>#REF!</v>
      </c>
      <c r="CY12" s="32" t="e">
        <f t="shared" ref="CY12:CY19" si="339">$AA12*#REF!</f>
        <v>#REF!</v>
      </c>
      <c r="CZ12" s="33" t="e">
        <f t="shared" ca="1" si="55"/>
        <v>#REF!</v>
      </c>
      <c r="DA12" s="32" t="e">
        <f t="shared" ref="DA12:DA19" si="340">$B12*#REF!</f>
        <v>#REF!</v>
      </c>
      <c r="DB12" s="32" t="e">
        <f ca="1">$B$72/DB3*$AA12*#REF!</f>
        <v>#REF!</v>
      </c>
      <c r="DC12" s="34" t="e">
        <f t="shared" ref="DC12:DC19" si="341">$AA12*#REF!</f>
        <v>#REF!</v>
      </c>
      <c r="DD12" s="32" t="e">
        <f t="shared" ca="1" si="56"/>
        <v>#REF!</v>
      </c>
      <c r="DE12" s="32" t="e">
        <f t="shared" ref="DE12:DE19" si="342">$B12*#REF!</f>
        <v>#REF!</v>
      </c>
      <c r="DF12" s="32" t="e">
        <f ca="1">$B$72/DF3*$AA12*#REF!</f>
        <v>#REF!</v>
      </c>
      <c r="DG12" s="34" t="e">
        <f t="shared" ref="DG12:DG19" si="343">$AA12*#REF!</f>
        <v>#REF!</v>
      </c>
      <c r="DH12" s="32" t="e">
        <f t="shared" ca="1" si="57"/>
        <v>#REF!</v>
      </c>
      <c r="DI12" s="32" t="e">
        <f t="shared" ref="DI12:DI19" si="344">$B12*#REF!</f>
        <v>#REF!</v>
      </c>
      <c r="DJ12" s="32" t="e">
        <f ca="1">$B$72/DJ3*$AA12*#REF!</f>
        <v>#REF!</v>
      </c>
      <c r="DK12" s="32" t="e">
        <f t="shared" ref="DK12:DK19" si="345">$AA12*#REF!</f>
        <v>#REF!</v>
      </c>
      <c r="DL12" s="33" t="e">
        <f t="shared" ref="DL12:DM19" si="346">$B12*#REF!</f>
        <v>#REF!</v>
      </c>
      <c r="DM12" s="32" t="e">
        <f t="shared" ref="DM12:DN19" si="347">$B12*#REF!</f>
        <v>#REF!</v>
      </c>
      <c r="DN12" s="32" t="e">
        <f t="shared" ref="DN12:DW19" si="348">$B12*#REF!</f>
        <v>#REF!</v>
      </c>
      <c r="DO12" s="32" t="e">
        <f t="shared" ref="DO12:DX19" si="349">$B12*#REF!</f>
        <v>#REF!</v>
      </c>
      <c r="DP12" s="32" t="e">
        <f t="shared" ref="DP12:DY19" si="350">$B12*#REF!</f>
        <v>#REF!</v>
      </c>
      <c r="DQ12" s="32" t="e">
        <f t="shared" ref="DQ12:DZ19" si="351">$B12*#REF!</f>
        <v>#REF!</v>
      </c>
      <c r="DR12" s="32" t="e">
        <f t="shared" ref="DR12:EA19" si="352">$B12*#REF!</f>
        <v>#REF!</v>
      </c>
      <c r="DS12" s="32" t="e">
        <f t="shared" ref="DS12:EB19" si="353">$B12*#REF!</f>
        <v>#REF!</v>
      </c>
      <c r="DT12" s="32" t="e">
        <f t="shared" ref="DT12:EC19" si="354">$B12*#REF!</f>
        <v>#REF!</v>
      </c>
      <c r="DU12" s="32" t="e">
        <f t="shared" ref="DU12:ED19" si="355">$B12*#REF!</f>
        <v>#REF!</v>
      </c>
      <c r="DV12" s="32" t="e">
        <f t="shared" ref="DV12:EE19" si="356">$B12*#REF!</f>
        <v>#REF!</v>
      </c>
      <c r="DW12" s="34" t="e">
        <f t="shared" ref="DW12:EE19" si="357">$B12*#REF!</f>
        <v>#REF!</v>
      </c>
      <c r="DX12" s="32" t="e">
        <f t="shared" ca="1" si="163"/>
        <v>#REF!</v>
      </c>
      <c r="DY12" s="32" t="e">
        <f t="shared" ref="DY12:DY19" si="358">$B12*#REF!</f>
        <v>#REF!</v>
      </c>
      <c r="DZ12" s="32" t="e">
        <f ca="1">$B$72/DZ3*$B12*#REF!</f>
        <v>#REF!</v>
      </c>
      <c r="EA12" s="34" t="e">
        <f t="shared" ref="EA12:EA19" si="359">$B12*#REF!</f>
        <v>#REF!</v>
      </c>
      <c r="EB12" s="34" t="e">
        <f t="shared" ref="EB12:EB19" si="360">$AA12*#REF!</f>
        <v>#REF!</v>
      </c>
      <c r="EC12" s="32" t="e">
        <f t="shared" ref="EC12:ED19" si="361">$B12*#REF!</f>
        <v>#REF!</v>
      </c>
      <c r="ED12" s="34" t="e">
        <f t="shared" ref="ED12:EE19" si="362">$B12*#REF!</f>
        <v>#REF!</v>
      </c>
      <c r="EE12" s="31" t="e">
        <f t="shared" ref="EE12:EE19" si="363">$B12*#REF!</f>
        <v>#REF!</v>
      </c>
    </row>
    <row r="13" spans="1:135" x14ac:dyDescent="0.25">
      <c r="A13" s="5" t="s">
        <v>130</v>
      </c>
      <c r="B13" s="32">
        <f>IF([1]Inputs!$E$16=1,[1]Inputs!F1215,IF([1]Inputs!$E$16=2,[1]Inputs!G1215,[1]Inputs!H1215))</f>
        <v>0</v>
      </c>
      <c r="C13" s="32" t="e">
        <f t="shared" ref="C13:N13" si="364">$B13*#REF!</f>
        <v>#REF!</v>
      </c>
      <c r="D13" s="32" t="e">
        <f t="shared" ref="D13:O13" si="365">$B13*#REF!</f>
        <v>#REF!</v>
      </c>
      <c r="E13" s="32" t="e">
        <f t="shared" ref="E13:P13" si="366">$B13*#REF!</f>
        <v>#REF!</v>
      </c>
      <c r="F13" s="32" t="e">
        <f t="shared" ref="F13:Q13" si="367">$B13*#REF!</f>
        <v>#REF!</v>
      </c>
      <c r="G13" s="32" t="e">
        <f t="shared" ref="G13:R13" si="368">$B13*#REF!</f>
        <v>#REF!</v>
      </c>
      <c r="H13" s="32" t="e">
        <f t="shared" ref="H13:S13" si="369">$B13*#REF!</f>
        <v>#REF!</v>
      </c>
      <c r="I13" s="32" t="e">
        <f t="shared" ref="I13:T13" si="370">$B13*#REF!</f>
        <v>#REF!</v>
      </c>
      <c r="J13" s="32" t="e">
        <f t="shared" ref="J13:U13" si="371">$B13*#REF!</f>
        <v>#REF!</v>
      </c>
      <c r="K13" s="32" t="e">
        <f t="shared" ref="K13:V13" si="372">$B13*#REF!</f>
        <v>#REF!</v>
      </c>
      <c r="L13" s="32" t="e">
        <f t="shared" ref="L13:W13" si="373">$B13*#REF!</f>
        <v>#REF!</v>
      </c>
      <c r="M13" s="32" t="e">
        <f t="shared" ref="M13:X13" si="374">$B13*#REF!</f>
        <v>#REF!</v>
      </c>
      <c r="N13" s="32" t="e">
        <f t="shared" ref="N13:Y13" si="375">$B13*#REF!</f>
        <v>#REF!</v>
      </c>
      <c r="O13" s="32" t="e">
        <f t="shared" ref="O13:P20" si="376">$B13*#REF!</f>
        <v>#REF!</v>
      </c>
      <c r="P13" s="32" t="e">
        <f t="shared" ref="P13:Q20" si="377">$B13*#REF!</f>
        <v>#REF!</v>
      </c>
      <c r="Q13" s="32" t="e">
        <f t="shared" ref="Q13:Q18" si="378">$B13*#REF!</f>
        <v>#REF!</v>
      </c>
      <c r="R13" s="32" t="e">
        <f t="shared" ref="R13:R18" si="379">$B13*#REF!</f>
        <v>#REF!</v>
      </c>
      <c r="S13" s="32">
        <f t="shared" si="183"/>
        <v>0</v>
      </c>
      <c r="T13" s="32">
        <f t="shared" si="183"/>
        <v>0</v>
      </c>
      <c r="U13" s="32">
        <f t="shared" si="183"/>
        <v>0</v>
      </c>
      <c r="V13" s="33" t="e">
        <f t="shared" ref="V13:Z20" si="380">$B13*#REF!</f>
        <v>#REF!</v>
      </c>
      <c r="W13" s="32" t="e">
        <f t="shared" ref="W13:AA20" si="381">$B13*#REF!</f>
        <v>#REF!</v>
      </c>
      <c r="X13" s="32" t="e">
        <f t="shared" ref="X13:AB20" si="382">$B13*#REF!</f>
        <v>#REF!</v>
      </c>
      <c r="Y13" s="32" t="e">
        <f t="shared" ref="Y13:AC20" si="383">$B13*#REF!</f>
        <v>#REF!</v>
      </c>
      <c r="Z13" s="34" t="e">
        <f t="shared" ref="Z13:AD20" si="384">$B13*#REF!</f>
        <v>#REF!</v>
      </c>
      <c r="AA13" s="32">
        <f>IF([1]Inputs!$E$16=1,[1]Inputs!I1215,IF([1]Inputs!$E$16=2,[1]Inputs!J1215,[1]Inputs!K1215))</f>
        <v>0</v>
      </c>
      <c r="AB13" s="32" t="e">
        <f t="shared" ref="AB13:AG20" si="385">$AA13*#REF!</f>
        <v>#REF!</v>
      </c>
      <c r="AC13" s="32" t="e">
        <f t="shared" ref="AC13:AH20" si="386">$AA13*#REF!</f>
        <v>#REF!</v>
      </c>
      <c r="AD13" s="32" t="e">
        <f t="shared" ref="AD13:AI20" si="387">$AA13*#REF!</f>
        <v>#REF!</v>
      </c>
      <c r="AE13" s="32" t="e">
        <f t="shared" ref="AE13:AJ20" si="388">$AA13*#REF!</f>
        <v>#REF!</v>
      </c>
      <c r="AF13" s="32" t="e">
        <f t="shared" ref="AF13:AK20" si="389">$AA13*#REF!</f>
        <v>#REF!</v>
      </c>
      <c r="AG13" s="32" t="e">
        <f t="shared" ref="AG13:AL20" si="390">$AA13*#REF!</f>
        <v>#REF!</v>
      </c>
      <c r="AH13" s="33" t="e">
        <f t="shared" ref="AH13:AQ20" si="391">$B13*#REF!</f>
        <v>#REF!</v>
      </c>
      <c r="AI13" s="32" t="e">
        <f t="shared" ref="AI13:AR20" si="392">$B13*#REF!</f>
        <v>#REF!</v>
      </c>
      <c r="AJ13" s="32" t="e">
        <f t="shared" ref="AJ13:AS20" si="393">$B13*#REF!</f>
        <v>#REF!</v>
      </c>
      <c r="AK13" s="32" t="e">
        <f t="shared" ref="AK13:AT20" si="394">$B13*#REF!</f>
        <v>#REF!</v>
      </c>
      <c r="AL13" s="32" t="e">
        <f t="shared" ref="AL13:AU20" si="395">$B13*#REF!</f>
        <v>#REF!</v>
      </c>
      <c r="AM13" s="32" t="e">
        <f t="shared" ref="AM13:AV20" si="396">$B13*#REF!</f>
        <v>#REF!</v>
      </c>
      <c r="AN13" s="32" t="e">
        <f t="shared" ref="AN13:AW20" si="397">$B13*#REF!</f>
        <v>#REF!</v>
      </c>
      <c r="AO13" s="32" t="e">
        <f t="shared" ref="AO13:AX20" si="398">$B13*#REF!</f>
        <v>#REF!</v>
      </c>
      <c r="AP13" s="32" t="e">
        <f t="shared" ref="AP13:AY20" si="399">$B13*#REF!</f>
        <v>#REF!</v>
      </c>
      <c r="AQ13" s="32" t="e">
        <f t="shared" ref="AQ13:AZ20" si="400">$B13*#REF!</f>
        <v>#REF!</v>
      </c>
      <c r="AR13" s="34" t="e">
        <f t="shared" ref="AR13:AR20" si="401">$B13*#REF!</f>
        <v>#REF!</v>
      </c>
      <c r="AS13" s="32" t="e">
        <f t="shared" si="99"/>
        <v>#DIV/0!</v>
      </c>
      <c r="AT13" s="32" t="e">
        <f t="shared" ref="AT13:AT20" si="402">$B13*#REF!</f>
        <v>#REF!</v>
      </c>
      <c r="AU13" s="32" t="e">
        <f t="shared" ref="AU13:AU20" si="403">$B$72/AU$72*$B13*#REF!</f>
        <v>#DIV/0!</v>
      </c>
      <c r="AV13" s="32" t="e">
        <f t="shared" ref="AV13:AV20" si="404">$B13*#REF!</f>
        <v>#REF!</v>
      </c>
      <c r="AW13" s="33" t="e">
        <f t="shared" si="103"/>
        <v>#DIV/0!</v>
      </c>
      <c r="AX13" s="32" t="e">
        <f t="shared" ref="AX13:AX20" si="405">$B13*#REF!</f>
        <v>#REF!</v>
      </c>
      <c r="AY13" s="32" t="e">
        <f t="shared" ref="AY13:AY20" si="406">$B$72/AY$72*$B13*#REF!</f>
        <v>#DIV/0!</v>
      </c>
      <c r="AZ13" s="34" t="e">
        <f t="shared" ref="AZ13:AZ20" si="407">$B13*#REF!</f>
        <v>#REF!</v>
      </c>
      <c r="BA13" s="33" t="e">
        <f t="shared" si="58"/>
        <v>#DIV/0!</v>
      </c>
      <c r="BB13" s="32" t="e">
        <f t="shared" ref="BB13:BB20" si="408">$B13*#REF!</f>
        <v>#REF!</v>
      </c>
      <c r="BC13" s="32" t="e">
        <f t="shared" ref="BC13:BC20" si="409">$B$72/BC$72*$B13*#REF!</f>
        <v>#DIV/0!</v>
      </c>
      <c r="BD13" s="34" t="e">
        <f t="shared" ref="BD13:BD20" si="410">$B13*#REF!</f>
        <v>#REF!</v>
      </c>
      <c r="BE13" s="32" t="e">
        <f t="shared" ca="1" si="110"/>
        <v>#REF!</v>
      </c>
      <c r="BF13" s="32" t="e">
        <f t="shared" ref="BF13:BF20" si="411">$B13*#REF!</f>
        <v>#REF!</v>
      </c>
      <c r="BG13" s="32" t="e">
        <f ca="1">$B$72/BG3*$B13*#REF!</f>
        <v>#REF!</v>
      </c>
      <c r="BH13" s="32" t="e">
        <f t="shared" ref="BH13:BH20" si="412">$B13*#REF!</f>
        <v>#REF!</v>
      </c>
      <c r="BI13" s="33" t="e">
        <f t="shared" ca="1" si="113"/>
        <v>#REF!</v>
      </c>
      <c r="BJ13" s="32" t="e">
        <f t="shared" ref="BJ13:BJ20" si="413">$B13*#REF!</f>
        <v>#REF!</v>
      </c>
      <c r="BK13" s="32" t="e">
        <f ca="1">$B$72/BK3*$B13*#REF!</f>
        <v>#REF!</v>
      </c>
      <c r="BL13" s="34" t="e">
        <f t="shared" ref="BL13:BL20" si="414">$B13*#REF!</f>
        <v>#REF!</v>
      </c>
      <c r="BM13" s="32" t="e">
        <f t="shared" ca="1" si="116"/>
        <v>#REF!</v>
      </c>
      <c r="BN13" s="32" t="e">
        <f t="shared" ref="BN13:BN20" si="415">$B13*#REF!</f>
        <v>#REF!</v>
      </c>
      <c r="BO13" s="32" t="e">
        <f ca="1">$B$72/BO3*$B13*#REF!</f>
        <v>#REF!</v>
      </c>
      <c r="BP13" s="32" t="e">
        <f t="shared" ref="BP13:BP20" si="416">$B13*#REF!</f>
        <v>#REF!</v>
      </c>
      <c r="BQ13" s="33" t="e">
        <f t="shared" ca="1" si="119"/>
        <v>#REF!</v>
      </c>
      <c r="BR13" s="32" t="e">
        <f t="shared" ref="BR13:BR20" si="417">$B13*#REF!</f>
        <v>#REF!</v>
      </c>
      <c r="BS13" s="32" t="e">
        <f ca="1">$B$72/BS3*$B13*#REF!</f>
        <v>#REF!</v>
      </c>
      <c r="BT13" s="34" t="e">
        <f t="shared" ref="BT13:BT20" si="418">$B13*#REF!</f>
        <v>#REF!</v>
      </c>
      <c r="BU13" s="32" t="e">
        <f t="shared" ca="1" si="122"/>
        <v>#REF!</v>
      </c>
      <c r="BV13" s="32" t="e">
        <f t="shared" ref="BV13:BV20" si="419">$B13*#REF!</f>
        <v>#REF!</v>
      </c>
      <c r="BW13" s="32" t="e">
        <f ca="1">$B$72/BW3*$B13*#REF!</f>
        <v>#REF!</v>
      </c>
      <c r="BX13" s="32" t="e">
        <f t="shared" ref="BX13:BX20" si="420">$B13*#REF!</f>
        <v>#REF!</v>
      </c>
      <c r="BY13" s="33" t="e">
        <f t="shared" ca="1" si="125"/>
        <v>#REF!</v>
      </c>
      <c r="BZ13" s="32" t="e">
        <f t="shared" ref="BZ13:BZ20" si="421">$B13*#REF!</f>
        <v>#REF!</v>
      </c>
      <c r="CA13" s="32" t="e">
        <f ca="1">$B$72/CA3*$B13*#REF!</f>
        <v>#REF!</v>
      </c>
      <c r="CB13" s="34" t="e">
        <f t="shared" ref="CB13:CB20" si="422">$B13*#REF!</f>
        <v>#REF!</v>
      </c>
      <c r="CC13" s="32" t="e">
        <f t="shared" ca="1" si="128"/>
        <v>#REF!</v>
      </c>
      <c r="CD13" s="32" t="e">
        <f t="shared" ref="CD13:CD20" si="423">$B13*#REF!</f>
        <v>#REF!</v>
      </c>
      <c r="CE13" s="32" t="e">
        <f ca="1">$B$72/CE3*$B13*#REF!</f>
        <v>#REF!</v>
      </c>
      <c r="CF13" s="32" t="e">
        <f t="shared" ref="CF13:CF20" si="424">$B13*#REF!</f>
        <v>#REF!</v>
      </c>
      <c r="CG13" s="32" t="e">
        <f t="shared" ref="CG13:CG20" si="425">$B13*#REF!</f>
        <v>#REF!</v>
      </c>
      <c r="CH13" s="33" t="e">
        <f t="shared" ref="CH13:CM20" si="426">$AA13*#REF!</f>
        <v>#REF!</v>
      </c>
      <c r="CI13" s="32" t="e">
        <f t="shared" ref="CI13:CN20" si="427">$AA13*#REF!</f>
        <v>#REF!</v>
      </c>
      <c r="CJ13" s="32" t="e">
        <f t="shared" ref="CJ13:CO20" si="428">$AA13*#REF!</f>
        <v>#REF!</v>
      </c>
      <c r="CK13" s="32" t="e">
        <f t="shared" ref="CK13:CP20" si="429">$AA13*#REF!</f>
        <v>#REF!</v>
      </c>
      <c r="CL13" s="32" t="e">
        <f t="shared" ref="CL13:CQ20" si="430">$AA13*#REF!</f>
        <v>#REF!</v>
      </c>
      <c r="CM13" s="34" t="e">
        <f t="shared" ref="CM13:CR20" si="431">$AA13*#REF!</f>
        <v>#REF!</v>
      </c>
      <c r="CN13" s="32" t="e">
        <f t="shared" ca="1" si="138"/>
        <v>#REF!</v>
      </c>
      <c r="CO13" s="32" t="e">
        <f t="shared" ref="CO13:CO20" si="432">$B13*#REF!</f>
        <v>#REF!</v>
      </c>
      <c r="CP13" s="32" t="e">
        <f ca="1">$B$72/CP3*$AA13*#REF!</f>
        <v>#REF!</v>
      </c>
      <c r="CQ13" s="32" t="e">
        <f t="shared" ref="CQ13:CQ20" si="433">$AA13*#REF!</f>
        <v>#REF!</v>
      </c>
      <c r="CR13" s="33" t="e">
        <f t="shared" ca="1" si="53"/>
        <v>#REF!</v>
      </c>
      <c r="CS13" s="32" t="e">
        <f t="shared" ref="CS13:CS20" si="434">$B13*#REF!</f>
        <v>#REF!</v>
      </c>
      <c r="CT13" s="32" t="e">
        <f ca="1">$B$72/CT3*$AA13*#REF!</f>
        <v>#REF!</v>
      </c>
      <c r="CU13" s="34" t="e">
        <f t="shared" ref="CU13:CU20" si="435">$AA13*#REF!</f>
        <v>#REF!</v>
      </c>
      <c r="CV13" s="32" t="e">
        <f t="shared" ca="1" si="54"/>
        <v>#REF!</v>
      </c>
      <c r="CW13" s="32" t="e">
        <f t="shared" ref="CW13:CW20" si="436">$B13*#REF!</f>
        <v>#REF!</v>
      </c>
      <c r="CX13" s="32" t="e">
        <f ca="1">$B$72/CX3*$AA13*#REF!</f>
        <v>#REF!</v>
      </c>
      <c r="CY13" s="32" t="e">
        <f t="shared" ref="CY13:CY20" si="437">$AA13*#REF!</f>
        <v>#REF!</v>
      </c>
      <c r="CZ13" s="33" t="e">
        <f t="shared" ca="1" si="55"/>
        <v>#REF!</v>
      </c>
      <c r="DA13" s="32" t="e">
        <f t="shared" ref="DA13:DA20" si="438">$B13*#REF!</f>
        <v>#REF!</v>
      </c>
      <c r="DB13" s="32" t="e">
        <f ca="1">$B$72/DB3*$AA13*#REF!</f>
        <v>#REF!</v>
      </c>
      <c r="DC13" s="34" t="e">
        <f t="shared" ref="DC13:DC20" si="439">$AA13*#REF!</f>
        <v>#REF!</v>
      </c>
      <c r="DD13" s="32" t="e">
        <f t="shared" ca="1" si="56"/>
        <v>#REF!</v>
      </c>
      <c r="DE13" s="32" t="e">
        <f t="shared" ref="DE13:DE20" si="440">$B13*#REF!</f>
        <v>#REF!</v>
      </c>
      <c r="DF13" s="32" t="e">
        <f ca="1">$B$72/DF3*$AA13*#REF!</f>
        <v>#REF!</v>
      </c>
      <c r="DG13" s="34" t="e">
        <f t="shared" ref="DG13:DG20" si="441">$AA13*#REF!</f>
        <v>#REF!</v>
      </c>
      <c r="DH13" s="32" t="e">
        <f t="shared" ca="1" si="57"/>
        <v>#REF!</v>
      </c>
      <c r="DI13" s="32" t="e">
        <f t="shared" ref="DI13:DI20" si="442">$B13*#REF!</f>
        <v>#REF!</v>
      </c>
      <c r="DJ13" s="32" t="e">
        <f ca="1">$B$72/DJ3*$AA13*#REF!</f>
        <v>#REF!</v>
      </c>
      <c r="DK13" s="32" t="e">
        <f t="shared" ref="DK13:DK20" si="443">$AA13*#REF!</f>
        <v>#REF!</v>
      </c>
      <c r="DL13" s="33" t="e">
        <f t="shared" ref="DL13:DM20" si="444">$B13*#REF!</f>
        <v>#REF!</v>
      </c>
      <c r="DM13" s="32" t="e">
        <f t="shared" ref="DM13:DN20" si="445">$B13*#REF!</f>
        <v>#REF!</v>
      </c>
      <c r="DN13" s="32" t="e">
        <f t="shared" ref="DN13:DW20" si="446">$B13*#REF!</f>
        <v>#REF!</v>
      </c>
      <c r="DO13" s="32" t="e">
        <f t="shared" ref="DO13:DX20" si="447">$B13*#REF!</f>
        <v>#REF!</v>
      </c>
      <c r="DP13" s="32" t="e">
        <f t="shared" ref="DP13:DY20" si="448">$B13*#REF!</f>
        <v>#REF!</v>
      </c>
      <c r="DQ13" s="32" t="e">
        <f t="shared" ref="DQ13:DZ20" si="449">$B13*#REF!</f>
        <v>#REF!</v>
      </c>
      <c r="DR13" s="32" t="e">
        <f t="shared" ref="DR13:EA20" si="450">$B13*#REF!</f>
        <v>#REF!</v>
      </c>
      <c r="DS13" s="32" t="e">
        <f t="shared" ref="DS13:EB20" si="451">$B13*#REF!</f>
        <v>#REF!</v>
      </c>
      <c r="DT13" s="32" t="e">
        <f t="shared" ref="DT13:EC20" si="452">$B13*#REF!</f>
        <v>#REF!</v>
      </c>
      <c r="DU13" s="32" t="e">
        <f t="shared" ref="DU13:ED20" si="453">$B13*#REF!</f>
        <v>#REF!</v>
      </c>
      <c r="DV13" s="32" t="e">
        <f t="shared" ref="DV13:EE20" si="454">$B13*#REF!</f>
        <v>#REF!</v>
      </c>
      <c r="DW13" s="34" t="e">
        <f t="shared" ref="DW13:EE20" si="455">$B13*#REF!</f>
        <v>#REF!</v>
      </c>
      <c r="DX13" s="32" t="e">
        <f t="shared" ca="1" si="163"/>
        <v>#REF!</v>
      </c>
      <c r="DY13" s="32" t="e">
        <f t="shared" ref="DY13:DY20" si="456">$B13*#REF!</f>
        <v>#REF!</v>
      </c>
      <c r="DZ13" s="32" t="e">
        <f ca="1">$B$72/DZ3*$B13*#REF!</f>
        <v>#REF!</v>
      </c>
      <c r="EA13" s="34" t="e">
        <f t="shared" ref="EA13:EA20" si="457">$B13*#REF!</f>
        <v>#REF!</v>
      </c>
      <c r="EB13" s="34" t="e">
        <f t="shared" ref="EB13:EB20" si="458">$AA13*#REF!</f>
        <v>#REF!</v>
      </c>
      <c r="EC13" s="32" t="e">
        <f t="shared" ref="EC13:ED20" si="459">$B13*#REF!</f>
        <v>#REF!</v>
      </c>
      <c r="ED13" s="34" t="e">
        <f t="shared" ref="ED13:EE20" si="460">$B13*#REF!</f>
        <v>#REF!</v>
      </c>
      <c r="EE13" s="31" t="e">
        <f t="shared" ref="EE13:EE20" si="461">$B13*#REF!</f>
        <v>#REF!</v>
      </c>
    </row>
    <row r="14" spans="1:135" x14ac:dyDescent="0.25">
      <c r="A14" s="5" t="s">
        <v>131</v>
      </c>
      <c r="B14" s="32">
        <f>IF([1]Inputs!$E$16=1,[1]Inputs!F1216,IF([1]Inputs!$E$16=2,[1]Inputs!G1216,[1]Inputs!H1216))</f>
        <v>0</v>
      </c>
      <c r="C14" s="32" t="e">
        <f t="shared" ref="C14:N14" si="462">$B14*#REF!</f>
        <v>#REF!</v>
      </c>
      <c r="D14" s="32" t="e">
        <f t="shared" ref="D14:O14" si="463">$B14*#REF!</f>
        <v>#REF!</v>
      </c>
      <c r="E14" s="32" t="e">
        <f t="shared" ref="E14:P14" si="464">$B14*#REF!</f>
        <v>#REF!</v>
      </c>
      <c r="F14" s="32" t="e">
        <f t="shared" ref="F14:Q14" si="465">$B14*#REF!</f>
        <v>#REF!</v>
      </c>
      <c r="G14" s="32" t="e">
        <f t="shared" ref="G14:R14" si="466">$B14*#REF!</f>
        <v>#REF!</v>
      </c>
      <c r="H14" s="32" t="e">
        <f t="shared" ref="H14:S14" si="467">$B14*#REF!</f>
        <v>#REF!</v>
      </c>
      <c r="I14" s="32" t="e">
        <f t="shared" ref="I14:T14" si="468">$B14*#REF!</f>
        <v>#REF!</v>
      </c>
      <c r="J14" s="32" t="e">
        <f t="shared" ref="J14:U14" si="469">$B14*#REF!</f>
        <v>#REF!</v>
      </c>
      <c r="K14" s="32" t="e">
        <f t="shared" ref="K14:V14" si="470">$B14*#REF!</f>
        <v>#REF!</v>
      </c>
      <c r="L14" s="32" t="e">
        <f t="shared" ref="L14:W14" si="471">$B14*#REF!</f>
        <v>#REF!</v>
      </c>
      <c r="M14" s="32" t="e">
        <f t="shared" ref="M14:X14" si="472">$B14*#REF!</f>
        <v>#REF!</v>
      </c>
      <c r="N14" s="32" t="e">
        <f t="shared" ref="N14:Y14" si="473">$B14*#REF!</f>
        <v>#REF!</v>
      </c>
      <c r="O14" s="32" t="e">
        <f t="shared" ref="O14:P21" si="474">$B14*#REF!</f>
        <v>#REF!</v>
      </c>
      <c r="P14" s="32" t="e">
        <f t="shared" ref="P14:Q21" si="475">$B14*#REF!</f>
        <v>#REF!</v>
      </c>
      <c r="Q14" s="32" t="e">
        <f t="shared" ref="Q14:Q19" si="476">$B14*#REF!</f>
        <v>#REF!</v>
      </c>
      <c r="R14" s="32" t="e">
        <f t="shared" ref="R14:R19" si="477">$B14*#REF!</f>
        <v>#REF!</v>
      </c>
      <c r="S14" s="32">
        <f t="shared" si="183"/>
        <v>0</v>
      </c>
      <c r="T14" s="32">
        <f t="shared" si="183"/>
        <v>0</v>
      </c>
      <c r="U14" s="32">
        <f t="shared" si="183"/>
        <v>0</v>
      </c>
      <c r="V14" s="33" t="e">
        <f t="shared" ref="V14:Z21" si="478">$B14*#REF!</f>
        <v>#REF!</v>
      </c>
      <c r="W14" s="32" t="e">
        <f t="shared" ref="W14:AA21" si="479">$B14*#REF!</f>
        <v>#REF!</v>
      </c>
      <c r="X14" s="32" t="e">
        <f t="shared" ref="X14:AB21" si="480">$B14*#REF!</f>
        <v>#REF!</v>
      </c>
      <c r="Y14" s="32" t="e">
        <f t="shared" ref="Y14:AC21" si="481">$B14*#REF!</f>
        <v>#REF!</v>
      </c>
      <c r="Z14" s="34" t="e">
        <f t="shared" ref="Z14:AD21" si="482">$B14*#REF!</f>
        <v>#REF!</v>
      </c>
      <c r="AA14" s="32">
        <f>IF([1]Inputs!$E$16=1,[1]Inputs!I1216,IF([1]Inputs!$E$16=2,[1]Inputs!J1216,[1]Inputs!K1216))</f>
        <v>0</v>
      </c>
      <c r="AB14" s="32" t="e">
        <f t="shared" ref="AB14:AG21" si="483">$AA14*#REF!</f>
        <v>#REF!</v>
      </c>
      <c r="AC14" s="32" t="e">
        <f t="shared" ref="AC14:AH21" si="484">$AA14*#REF!</f>
        <v>#REF!</v>
      </c>
      <c r="AD14" s="32" t="e">
        <f t="shared" ref="AD14:AI21" si="485">$AA14*#REF!</f>
        <v>#REF!</v>
      </c>
      <c r="AE14" s="32" t="e">
        <f t="shared" ref="AE14:AJ21" si="486">$AA14*#REF!</f>
        <v>#REF!</v>
      </c>
      <c r="AF14" s="32" t="e">
        <f t="shared" ref="AF14:AK21" si="487">$AA14*#REF!</f>
        <v>#REF!</v>
      </c>
      <c r="AG14" s="32" t="e">
        <f t="shared" ref="AG14:AL21" si="488">$AA14*#REF!</f>
        <v>#REF!</v>
      </c>
      <c r="AH14" s="33" t="e">
        <f t="shared" ref="AH14:AQ21" si="489">$B14*#REF!</f>
        <v>#REF!</v>
      </c>
      <c r="AI14" s="32" t="e">
        <f t="shared" ref="AI14:AR21" si="490">$B14*#REF!</f>
        <v>#REF!</v>
      </c>
      <c r="AJ14" s="32" t="e">
        <f t="shared" ref="AJ14:AS21" si="491">$B14*#REF!</f>
        <v>#REF!</v>
      </c>
      <c r="AK14" s="32" t="e">
        <f t="shared" ref="AK14:AT21" si="492">$B14*#REF!</f>
        <v>#REF!</v>
      </c>
      <c r="AL14" s="32" t="e">
        <f t="shared" ref="AL14:AU21" si="493">$B14*#REF!</f>
        <v>#REF!</v>
      </c>
      <c r="AM14" s="32" t="e">
        <f t="shared" ref="AM14:AV21" si="494">$B14*#REF!</f>
        <v>#REF!</v>
      </c>
      <c r="AN14" s="32" t="e">
        <f t="shared" ref="AN14:AW21" si="495">$B14*#REF!</f>
        <v>#REF!</v>
      </c>
      <c r="AO14" s="32" t="e">
        <f t="shared" ref="AO14:AX21" si="496">$B14*#REF!</f>
        <v>#REF!</v>
      </c>
      <c r="AP14" s="32" t="e">
        <f t="shared" ref="AP14:AY21" si="497">$B14*#REF!</f>
        <v>#REF!</v>
      </c>
      <c r="AQ14" s="32" t="e">
        <f t="shared" ref="AQ14:AZ21" si="498">$B14*#REF!</f>
        <v>#REF!</v>
      </c>
      <c r="AR14" s="34" t="e">
        <f t="shared" ref="AR14:AR21" si="499">$B14*#REF!</f>
        <v>#REF!</v>
      </c>
      <c r="AS14" s="32" t="e">
        <f t="shared" si="99"/>
        <v>#DIV/0!</v>
      </c>
      <c r="AT14" s="32" t="e">
        <f t="shared" ref="AT14:AT21" si="500">$B14*#REF!</f>
        <v>#REF!</v>
      </c>
      <c r="AU14" s="32" t="e">
        <f t="shared" ref="AU14:AU21" si="501">$B$72/AU$72*$B14*#REF!</f>
        <v>#DIV/0!</v>
      </c>
      <c r="AV14" s="32" t="e">
        <f t="shared" ref="AV14:AV21" si="502">$B14*#REF!</f>
        <v>#REF!</v>
      </c>
      <c r="AW14" s="33" t="e">
        <f t="shared" si="103"/>
        <v>#DIV/0!</v>
      </c>
      <c r="AX14" s="32" t="e">
        <f t="shared" ref="AX14:AX21" si="503">$B14*#REF!</f>
        <v>#REF!</v>
      </c>
      <c r="AY14" s="32" t="e">
        <f t="shared" ref="AY14:AY21" si="504">$B$72/AY$72*$B14*#REF!</f>
        <v>#DIV/0!</v>
      </c>
      <c r="AZ14" s="34" t="e">
        <f t="shared" ref="AZ14:AZ21" si="505">$B14*#REF!</f>
        <v>#REF!</v>
      </c>
      <c r="BA14" s="33" t="e">
        <f t="shared" si="58"/>
        <v>#DIV/0!</v>
      </c>
      <c r="BB14" s="32" t="e">
        <f t="shared" ref="BB14:BB21" si="506">$B14*#REF!</f>
        <v>#REF!</v>
      </c>
      <c r="BC14" s="32" t="e">
        <f t="shared" ref="BC14:BC21" si="507">$B$72/BC$72*$B14*#REF!</f>
        <v>#DIV/0!</v>
      </c>
      <c r="BD14" s="34" t="e">
        <f t="shared" ref="BD14:BD21" si="508">$B14*#REF!</f>
        <v>#REF!</v>
      </c>
      <c r="BE14" s="32" t="e">
        <f t="shared" ca="1" si="110"/>
        <v>#REF!</v>
      </c>
      <c r="BF14" s="32" t="e">
        <f t="shared" ref="BF14:BF21" si="509">$B14*#REF!</f>
        <v>#REF!</v>
      </c>
      <c r="BG14" s="32" t="e">
        <f ca="1">$B$72/BG3*$B14*#REF!</f>
        <v>#REF!</v>
      </c>
      <c r="BH14" s="32" t="e">
        <f t="shared" ref="BH14:BH21" si="510">$B14*#REF!</f>
        <v>#REF!</v>
      </c>
      <c r="BI14" s="33" t="e">
        <f t="shared" ca="1" si="113"/>
        <v>#REF!</v>
      </c>
      <c r="BJ14" s="32" t="e">
        <f t="shared" ref="BJ14:BJ21" si="511">$B14*#REF!</f>
        <v>#REF!</v>
      </c>
      <c r="BK14" s="32" t="e">
        <f ca="1">$B$72/BK3*$B14*#REF!</f>
        <v>#REF!</v>
      </c>
      <c r="BL14" s="34" t="e">
        <f t="shared" ref="BL14:BL21" si="512">$B14*#REF!</f>
        <v>#REF!</v>
      </c>
      <c r="BM14" s="32" t="e">
        <f t="shared" ca="1" si="116"/>
        <v>#REF!</v>
      </c>
      <c r="BN14" s="32" t="e">
        <f t="shared" ref="BN14:BN21" si="513">$B14*#REF!</f>
        <v>#REF!</v>
      </c>
      <c r="BO14" s="32" t="e">
        <f ca="1">$B$72/BO3*$B14*#REF!</f>
        <v>#REF!</v>
      </c>
      <c r="BP14" s="32" t="e">
        <f t="shared" ref="BP14:BP21" si="514">$B14*#REF!</f>
        <v>#REF!</v>
      </c>
      <c r="BQ14" s="33" t="e">
        <f t="shared" ca="1" si="119"/>
        <v>#REF!</v>
      </c>
      <c r="BR14" s="32" t="e">
        <f t="shared" ref="BR14:BR21" si="515">$B14*#REF!</f>
        <v>#REF!</v>
      </c>
      <c r="BS14" s="32" t="e">
        <f ca="1">$B$72/BS3*$B14*#REF!</f>
        <v>#REF!</v>
      </c>
      <c r="BT14" s="34" t="e">
        <f t="shared" ref="BT14:BT21" si="516">$B14*#REF!</f>
        <v>#REF!</v>
      </c>
      <c r="BU14" s="32" t="e">
        <f t="shared" ca="1" si="122"/>
        <v>#REF!</v>
      </c>
      <c r="BV14" s="32" t="e">
        <f t="shared" ref="BV14:BV21" si="517">$B14*#REF!</f>
        <v>#REF!</v>
      </c>
      <c r="BW14" s="32" t="e">
        <f ca="1">$B$72/BW3*$B14*#REF!</f>
        <v>#REF!</v>
      </c>
      <c r="BX14" s="32" t="e">
        <f t="shared" ref="BX14:BX21" si="518">$B14*#REF!</f>
        <v>#REF!</v>
      </c>
      <c r="BY14" s="33" t="e">
        <f t="shared" ca="1" si="125"/>
        <v>#REF!</v>
      </c>
      <c r="BZ14" s="32" t="e">
        <f t="shared" ref="BZ14:BZ21" si="519">$B14*#REF!</f>
        <v>#REF!</v>
      </c>
      <c r="CA14" s="32" t="e">
        <f ca="1">$B$72/CA3*$B14*#REF!</f>
        <v>#REF!</v>
      </c>
      <c r="CB14" s="34" t="e">
        <f t="shared" ref="CB14:CB21" si="520">$B14*#REF!</f>
        <v>#REF!</v>
      </c>
      <c r="CC14" s="32" t="e">
        <f t="shared" ca="1" si="128"/>
        <v>#REF!</v>
      </c>
      <c r="CD14" s="32" t="e">
        <f t="shared" ref="CD14:CD21" si="521">$B14*#REF!</f>
        <v>#REF!</v>
      </c>
      <c r="CE14" s="32" t="e">
        <f ca="1">$B$72/CE3*$B14*#REF!</f>
        <v>#REF!</v>
      </c>
      <c r="CF14" s="32" t="e">
        <f t="shared" ref="CF14:CF21" si="522">$B14*#REF!</f>
        <v>#REF!</v>
      </c>
      <c r="CG14" s="32" t="e">
        <f t="shared" ref="CG14:CG21" si="523">$B14*#REF!</f>
        <v>#REF!</v>
      </c>
      <c r="CH14" s="33" t="e">
        <f t="shared" ref="CH14:CM21" si="524">$AA14*#REF!</f>
        <v>#REF!</v>
      </c>
      <c r="CI14" s="32" t="e">
        <f t="shared" ref="CI14:CN21" si="525">$AA14*#REF!</f>
        <v>#REF!</v>
      </c>
      <c r="CJ14" s="32" t="e">
        <f t="shared" ref="CJ14:CO21" si="526">$AA14*#REF!</f>
        <v>#REF!</v>
      </c>
      <c r="CK14" s="32" t="e">
        <f t="shared" ref="CK14:CP21" si="527">$AA14*#REF!</f>
        <v>#REF!</v>
      </c>
      <c r="CL14" s="32" t="e">
        <f t="shared" ref="CL14:CQ21" si="528">$AA14*#REF!</f>
        <v>#REF!</v>
      </c>
      <c r="CM14" s="34" t="e">
        <f t="shared" ref="CM14:CR21" si="529">$AA14*#REF!</f>
        <v>#REF!</v>
      </c>
      <c r="CN14" s="32" t="e">
        <f t="shared" ca="1" si="138"/>
        <v>#REF!</v>
      </c>
      <c r="CO14" s="32" t="e">
        <f t="shared" ref="CO14:CO21" si="530">$B14*#REF!</f>
        <v>#REF!</v>
      </c>
      <c r="CP14" s="32" t="e">
        <f ca="1">$B$72/CP3*$AA14*#REF!</f>
        <v>#REF!</v>
      </c>
      <c r="CQ14" s="32" t="e">
        <f t="shared" ref="CQ14:CQ21" si="531">$AA14*#REF!</f>
        <v>#REF!</v>
      </c>
      <c r="CR14" s="33" t="e">
        <f t="shared" ca="1" si="53"/>
        <v>#REF!</v>
      </c>
      <c r="CS14" s="32" t="e">
        <f t="shared" ref="CS14:CS21" si="532">$B14*#REF!</f>
        <v>#REF!</v>
      </c>
      <c r="CT14" s="32" t="e">
        <f ca="1">$B$72/CT3*$AA14*#REF!</f>
        <v>#REF!</v>
      </c>
      <c r="CU14" s="34" t="e">
        <f t="shared" ref="CU14:CU21" si="533">$AA14*#REF!</f>
        <v>#REF!</v>
      </c>
      <c r="CV14" s="32" t="e">
        <f t="shared" ca="1" si="54"/>
        <v>#REF!</v>
      </c>
      <c r="CW14" s="32" t="e">
        <f t="shared" ref="CW14:CW21" si="534">$B14*#REF!</f>
        <v>#REF!</v>
      </c>
      <c r="CX14" s="32" t="e">
        <f ca="1">$B$72/CX3*$AA14*#REF!</f>
        <v>#REF!</v>
      </c>
      <c r="CY14" s="32" t="e">
        <f t="shared" ref="CY14:CY21" si="535">$AA14*#REF!</f>
        <v>#REF!</v>
      </c>
      <c r="CZ14" s="33" t="e">
        <f t="shared" ca="1" si="55"/>
        <v>#REF!</v>
      </c>
      <c r="DA14" s="32" t="e">
        <f t="shared" ref="DA14:DA21" si="536">$B14*#REF!</f>
        <v>#REF!</v>
      </c>
      <c r="DB14" s="32" t="e">
        <f ca="1">$B$72/DB3*$AA14*#REF!</f>
        <v>#REF!</v>
      </c>
      <c r="DC14" s="34" t="e">
        <f t="shared" ref="DC14:DC21" si="537">$AA14*#REF!</f>
        <v>#REF!</v>
      </c>
      <c r="DD14" s="32" t="e">
        <f t="shared" ca="1" si="56"/>
        <v>#REF!</v>
      </c>
      <c r="DE14" s="32" t="e">
        <f t="shared" ref="DE14:DE21" si="538">$B14*#REF!</f>
        <v>#REF!</v>
      </c>
      <c r="DF14" s="32" t="e">
        <f ca="1">$B$72/DF3*$AA14*#REF!</f>
        <v>#REF!</v>
      </c>
      <c r="DG14" s="34" t="e">
        <f t="shared" ref="DG14:DG21" si="539">$AA14*#REF!</f>
        <v>#REF!</v>
      </c>
      <c r="DH14" s="32" t="e">
        <f t="shared" ca="1" si="57"/>
        <v>#REF!</v>
      </c>
      <c r="DI14" s="32" t="e">
        <f t="shared" ref="DI14:DI21" si="540">$B14*#REF!</f>
        <v>#REF!</v>
      </c>
      <c r="DJ14" s="32" t="e">
        <f ca="1">$B$72/DJ3*$AA14*#REF!</f>
        <v>#REF!</v>
      </c>
      <c r="DK14" s="32" t="e">
        <f t="shared" ref="DK14:DK21" si="541">$AA14*#REF!</f>
        <v>#REF!</v>
      </c>
      <c r="DL14" s="33" t="e">
        <f t="shared" ref="DL14:DM21" si="542">$B14*#REF!</f>
        <v>#REF!</v>
      </c>
      <c r="DM14" s="32" t="e">
        <f t="shared" ref="DM14:DN21" si="543">$B14*#REF!</f>
        <v>#REF!</v>
      </c>
      <c r="DN14" s="32" t="e">
        <f t="shared" ref="DN14:DW21" si="544">$B14*#REF!</f>
        <v>#REF!</v>
      </c>
      <c r="DO14" s="32" t="e">
        <f t="shared" ref="DO14:DX21" si="545">$B14*#REF!</f>
        <v>#REF!</v>
      </c>
      <c r="DP14" s="32" t="e">
        <f t="shared" ref="DP14:DY21" si="546">$B14*#REF!</f>
        <v>#REF!</v>
      </c>
      <c r="DQ14" s="32" t="e">
        <f t="shared" ref="DQ14:DZ21" si="547">$B14*#REF!</f>
        <v>#REF!</v>
      </c>
      <c r="DR14" s="32" t="e">
        <f t="shared" ref="DR14:EA21" si="548">$B14*#REF!</f>
        <v>#REF!</v>
      </c>
      <c r="DS14" s="32" t="e">
        <f t="shared" ref="DS14:EB21" si="549">$B14*#REF!</f>
        <v>#REF!</v>
      </c>
      <c r="DT14" s="32" t="e">
        <f t="shared" ref="DT14:EC21" si="550">$B14*#REF!</f>
        <v>#REF!</v>
      </c>
      <c r="DU14" s="32" t="e">
        <f t="shared" ref="DU14:ED21" si="551">$B14*#REF!</f>
        <v>#REF!</v>
      </c>
      <c r="DV14" s="32" t="e">
        <f t="shared" ref="DV14:EE21" si="552">$B14*#REF!</f>
        <v>#REF!</v>
      </c>
      <c r="DW14" s="34" t="e">
        <f t="shared" ref="DW14:EE21" si="553">$B14*#REF!</f>
        <v>#REF!</v>
      </c>
      <c r="DX14" s="32" t="e">
        <f t="shared" ca="1" si="163"/>
        <v>#REF!</v>
      </c>
      <c r="DY14" s="32" t="e">
        <f t="shared" ref="DY14:DY21" si="554">$B14*#REF!</f>
        <v>#REF!</v>
      </c>
      <c r="DZ14" s="32" t="e">
        <f ca="1">$B$72/DZ3*$B14*#REF!</f>
        <v>#REF!</v>
      </c>
      <c r="EA14" s="34" t="e">
        <f t="shared" ref="EA14:EA21" si="555">$B14*#REF!</f>
        <v>#REF!</v>
      </c>
      <c r="EB14" s="34" t="e">
        <f t="shared" ref="EB14:EB21" si="556">$AA14*#REF!</f>
        <v>#REF!</v>
      </c>
      <c r="EC14" s="32" t="e">
        <f t="shared" ref="EC14:ED21" si="557">$B14*#REF!</f>
        <v>#REF!</v>
      </c>
      <c r="ED14" s="34" t="e">
        <f t="shared" ref="ED14:EE21" si="558">$B14*#REF!</f>
        <v>#REF!</v>
      </c>
      <c r="EE14" s="31" t="e">
        <f t="shared" ref="EE14:EE21" si="559">$B14*#REF!</f>
        <v>#REF!</v>
      </c>
    </row>
    <row r="15" spans="1:135" x14ac:dyDescent="0.25">
      <c r="A15" s="5" t="s">
        <v>132</v>
      </c>
      <c r="B15" s="32">
        <f>IF([1]Inputs!$E$16=1,[1]Inputs!F1217,IF([1]Inputs!$E$16=2,[1]Inputs!G1217,[1]Inputs!H1217))</f>
        <v>0</v>
      </c>
      <c r="C15" s="32" t="e">
        <f t="shared" ref="C15:N15" si="560">$B15*#REF!</f>
        <v>#REF!</v>
      </c>
      <c r="D15" s="32" t="e">
        <f t="shared" ref="D15:O15" si="561">$B15*#REF!</f>
        <v>#REF!</v>
      </c>
      <c r="E15" s="32" t="e">
        <f t="shared" ref="E15:P15" si="562">$B15*#REF!</f>
        <v>#REF!</v>
      </c>
      <c r="F15" s="32" t="e">
        <f t="shared" ref="F15:Q15" si="563">$B15*#REF!</f>
        <v>#REF!</v>
      </c>
      <c r="G15" s="32" t="e">
        <f t="shared" ref="G15:R15" si="564">$B15*#REF!</f>
        <v>#REF!</v>
      </c>
      <c r="H15" s="32" t="e">
        <f t="shared" ref="H15:S15" si="565">$B15*#REF!</f>
        <v>#REF!</v>
      </c>
      <c r="I15" s="32" t="e">
        <f t="shared" ref="I15:T15" si="566">$B15*#REF!</f>
        <v>#REF!</v>
      </c>
      <c r="J15" s="32" t="e">
        <f t="shared" ref="J15:U15" si="567">$B15*#REF!</f>
        <v>#REF!</v>
      </c>
      <c r="K15" s="32" t="e">
        <f t="shared" ref="K15:V15" si="568">$B15*#REF!</f>
        <v>#REF!</v>
      </c>
      <c r="L15" s="32" t="e">
        <f t="shared" ref="L15:W15" si="569">$B15*#REF!</f>
        <v>#REF!</v>
      </c>
      <c r="M15" s="32" t="e">
        <f t="shared" ref="M15:X15" si="570">$B15*#REF!</f>
        <v>#REF!</v>
      </c>
      <c r="N15" s="32" t="e">
        <f t="shared" ref="N15:Y15" si="571">$B15*#REF!</f>
        <v>#REF!</v>
      </c>
      <c r="O15" s="32" t="e">
        <f t="shared" ref="O15:P22" si="572">$B15*#REF!</f>
        <v>#REF!</v>
      </c>
      <c r="P15" s="32" t="e">
        <f t="shared" ref="P15:Q22" si="573">$B15*#REF!</f>
        <v>#REF!</v>
      </c>
      <c r="Q15" s="32" t="e">
        <f t="shared" ref="Q15:Q20" si="574">$B15*#REF!</f>
        <v>#REF!</v>
      </c>
      <c r="R15" s="32" t="e">
        <f t="shared" ref="R15:R20" si="575">$B15*#REF!</f>
        <v>#REF!</v>
      </c>
      <c r="S15" s="32">
        <f t="shared" si="183"/>
        <v>0</v>
      </c>
      <c r="T15" s="32">
        <f t="shared" si="183"/>
        <v>0</v>
      </c>
      <c r="U15" s="32">
        <f t="shared" si="183"/>
        <v>0</v>
      </c>
      <c r="V15" s="33" t="e">
        <f t="shared" ref="V15:Z22" si="576">$B15*#REF!</f>
        <v>#REF!</v>
      </c>
      <c r="W15" s="32" t="e">
        <f t="shared" ref="W15:AA22" si="577">$B15*#REF!</f>
        <v>#REF!</v>
      </c>
      <c r="X15" s="32" t="e">
        <f t="shared" ref="X15:AB22" si="578">$B15*#REF!</f>
        <v>#REF!</v>
      </c>
      <c r="Y15" s="32" t="e">
        <f t="shared" ref="Y15:AC22" si="579">$B15*#REF!</f>
        <v>#REF!</v>
      </c>
      <c r="Z15" s="34" t="e">
        <f t="shared" ref="Z15:AD22" si="580">$B15*#REF!</f>
        <v>#REF!</v>
      </c>
      <c r="AA15" s="32">
        <f>IF([1]Inputs!$E$16=1,[1]Inputs!I1217,IF([1]Inputs!$E$16=2,[1]Inputs!J1217,[1]Inputs!K1217))</f>
        <v>0</v>
      </c>
      <c r="AB15" s="32" t="e">
        <f t="shared" ref="AB15:AG22" si="581">$AA15*#REF!</f>
        <v>#REF!</v>
      </c>
      <c r="AC15" s="32" t="e">
        <f t="shared" ref="AC15:AH22" si="582">$AA15*#REF!</f>
        <v>#REF!</v>
      </c>
      <c r="AD15" s="32" t="e">
        <f t="shared" ref="AD15:AI22" si="583">$AA15*#REF!</f>
        <v>#REF!</v>
      </c>
      <c r="AE15" s="32" t="e">
        <f t="shared" ref="AE15:AJ22" si="584">$AA15*#REF!</f>
        <v>#REF!</v>
      </c>
      <c r="AF15" s="32" t="e">
        <f t="shared" ref="AF15:AK22" si="585">$AA15*#REF!</f>
        <v>#REF!</v>
      </c>
      <c r="AG15" s="32" t="e">
        <f t="shared" ref="AG15:AL22" si="586">$AA15*#REF!</f>
        <v>#REF!</v>
      </c>
      <c r="AH15" s="33" t="e">
        <f t="shared" ref="AH15:AQ22" si="587">$B15*#REF!</f>
        <v>#REF!</v>
      </c>
      <c r="AI15" s="32" t="e">
        <f t="shared" ref="AI15:AR22" si="588">$B15*#REF!</f>
        <v>#REF!</v>
      </c>
      <c r="AJ15" s="32" t="e">
        <f t="shared" ref="AJ15:AS22" si="589">$B15*#REF!</f>
        <v>#REF!</v>
      </c>
      <c r="AK15" s="32" t="e">
        <f t="shared" ref="AK15:AT22" si="590">$B15*#REF!</f>
        <v>#REF!</v>
      </c>
      <c r="AL15" s="32" t="e">
        <f t="shared" ref="AL15:AU22" si="591">$B15*#REF!</f>
        <v>#REF!</v>
      </c>
      <c r="AM15" s="32" t="e">
        <f t="shared" ref="AM15:AV22" si="592">$B15*#REF!</f>
        <v>#REF!</v>
      </c>
      <c r="AN15" s="32" t="e">
        <f t="shared" ref="AN15:AW22" si="593">$B15*#REF!</f>
        <v>#REF!</v>
      </c>
      <c r="AO15" s="32" t="e">
        <f t="shared" ref="AO15:AX22" si="594">$B15*#REF!</f>
        <v>#REF!</v>
      </c>
      <c r="AP15" s="32" t="e">
        <f t="shared" ref="AP15:AY22" si="595">$B15*#REF!</f>
        <v>#REF!</v>
      </c>
      <c r="AQ15" s="32" t="e">
        <f t="shared" ref="AQ15:AZ22" si="596">$B15*#REF!</f>
        <v>#REF!</v>
      </c>
      <c r="AR15" s="34" t="e">
        <f t="shared" ref="AR15:AR22" si="597">$B15*#REF!</f>
        <v>#REF!</v>
      </c>
      <c r="AS15" s="32" t="e">
        <f t="shared" si="99"/>
        <v>#DIV/0!</v>
      </c>
      <c r="AT15" s="32" t="e">
        <f t="shared" ref="AT15:AT22" si="598">$B15*#REF!</f>
        <v>#REF!</v>
      </c>
      <c r="AU15" s="32" t="e">
        <f t="shared" ref="AU15:AU22" si="599">$B$72/AU$72*$B15*#REF!</f>
        <v>#DIV/0!</v>
      </c>
      <c r="AV15" s="32" t="e">
        <f t="shared" ref="AV15:AV22" si="600">$B15*#REF!</f>
        <v>#REF!</v>
      </c>
      <c r="AW15" s="33" t="e">
        <f t="shared" si="103"/>
        <v>#DIV/0!</v>
      </c>
      <c r="AX15" s="32" t="e">
        <f t="shared" ref="AX15:AX22" si="601">$B15*#REF!</f>
        <v>#REF!</v>
      </c>
      <c r="AY15" s="32" t="e">
        <f t="shared" ref="AY15:AY22" si="602">$B$72/AY$72*$B15*#REF!</f>
        <v>#DIV/0!</v>
      </c>
      <c r="AZ15" s="34" t="e">
        <f t="shared" ref="AZ15:AZ22" si="603">$B15*#REF!</f>
        <v>#REF!</v>
      </c>
      <c r="BA15" s="33" t="e">
        <f t="shared" si="58"/>
        <v>#DIV/0!</v>
      </c>
      <c r="BB15" s="32" t="e">
        <f t="shared" ref="BB15:BB22" si="604">$B15*#REF!</f>
        <v>#REF!</v>
      </c>
      <c r="BC15" s="32" t="e">
        <f t="shared" ref="BC15:BC22" si="605">$B$72/BC$72*$B15*#REF!</f>
        <v>#DIV/0!</v>
      </c>
      <c r="BD15" s="34" t="e">
        <f t="shared" ref="BD15:BD22" si="606">$B15*#REF!</f>
        <v>#REF!</v>
      </c>
      <c r="BE15" s="32" t="e">
        <f t="shared" ca="1" si="110"/>
        <v>#REF!</v>
      </c>
      <c r="BF15" s="32" t="e">
        <f t="shared" ref="BF15:BF22" si="607">$B15*#REF!</f>
        <v>#REF!</v>
      </c>
      <c r="BG15" s="32" t="e">
        <f ca="1">$B$72/BG3*$B15*#REF!</f>
        <v>#REF!</v>
      </c>
      <c r="BH15" s="32" t="e">
        <f t="shared" ref="BH15:BH22" si="608">$B15*#REF!</f>
        <v>#REF!</v>
      </c>
      <c r="BI15" s="33" t="e">
        <f t="shared" ca="1" si="113"/>
        <v>#REF!</v>
      </c>
      <c r="BJ15" s="32" t="e">
        <f t="shared" ref="BJ15:BJ22" si="609">$B15*#REF!</f>
        <v>#REF!</v>
      </c>
      <c r="BK15" s="32" t="e">
        <f ca="1">$B$72/BK3*$B15*#REF!</f>
        <v>#REF!</v>
      </c>
      <c r="BL15" s="34" t="e">
        <f t="shared" ref="BL15:BL22" si="610">$B15*#REF!</f>
        <v>#REF!</v>
      </c>
      <c r="BM15" s="32" t="e">
        <f t="shared" ca="1" si="116"/>
        <v>#REF!</v>
      </c>
      <c r="BN15" s="32" t="e">
        <f t="shared" ref="BN15:BN22" si="611">$B15*#REF!</f>
        <v>#REF!</v>
      </c>
      <c r="BO15" s="32" t="e">
        <f ca="1">$B$72/BO3*$B15*#REF!</f>
        <v>#REF!</v>
      </c>
      <c r="BP15" s="32" t="e">
        <f t="shared" ref="BP15:BP22" si="612">$B15*#REF!</f>
        <v>#REF!</v>
      </c>
      <c r="BQ15" s="33" t="e">
        <f t="shared" ca="1" si="119"/>
        <v>#REF!</v>
      </c>
      <c r="BR15" s="32" t="e">
        <f t="shared" ref="BR15:BR22" si="613">$B15*#REF!</f>
        <v>#REF!</v>
      </c>
      <c r="BS15" s="32" t="e">
        <f ca="1">$B$72/BS3*$B15*#REF!</f>
        <v>#REF!</v>
      </c>
      <c r="BT15" s="34" t="e">
        <f t="shared" ref="BT15:BT22" si="614">$B15*#REF!</f>
        <v>#REF!</v>
      </c>
      <c r="BU15" s="32" t="e">
        <f t="shared" ca="1" si="122"/>
        <v>#REF!</v>
      </c>
      <c r="BV15" s="32" t="e">
        <f t="shared" ref="BV15:BV22" si="615">$B15*#REF!</f>
        <v>#REF!</v>
      </c>
      <c r="BW15" s="32" t="e">
        <f ca="1">$B$72/BW3*$B15*#REF!</f>
        <v>#REF!</v>
      </c>
      <c r="BX15" s="32" t="e">
        <f t="shared" ref="BX15:BX22" si="616">$B15*#REF!</f>
        <v>#REF!</v>
      </c>
      <c r="BY15" s="33" t="e">
        <f t="shared" ca="1" si="125"/>
        <v>#REF!</v>
      </c>
      <c r="BZ15" s="32" t="e">
        <f t="shared" ref="BZ15:BZ22" si="617">$B15*#REF!</f>
        <v>#REF!</v>
      </c>
      <c r="CA15" s="32" t="e">
        <f ca="1">$B$72/CA3*$B15*#REF!</f>
        <v>#REF!</v>
      </c>
      <c r="CB15" s="34" t="e">
        <f t="shared" ref="CB15:CB22" si="618">$B15*#REF!</f>
        <v>#REF!</v>
      </c>
      <c r="CC15" s="32" t="e">
        <f t="shared" ca="1" si="128"/>
        <v>#REF!</v>
      </c>
      <c r="CD15" s="32" t="e">
        <f t="shared" ref="CD15:CD22" si="619">$B15*#REF!</f>
        <v>#REF!</v>
      </c>
      <c r="CE15" s="32" t="e">
        <f ca="1">$B$72/CE3*$B15*#REF!</f>
        <v>#REF!</v>
      </c>
      <c r="CF15" s="32" t="e">
        <f t="shared" ref="CF15:CF22" si="620">$B15*#REF!</f>
        <v>#REF!</v>
      </c>
      <c r="CG15" s="32" t="e">
        <f t="shared" ref="CG15:CG22" si="621">$B15*#REF!</f>
        <v>#REF!</v>
      </c>
      <c r="CH15" s="33" t="e">
        <f t="shared" ref="CH15:CM22" si="622">$AA15*#REF!</f>
        <v>#REF!</v>
      </c>
      <c r="CI15" s="32" t="e">
        <f t="shared" ref="CI15:CN22" si="623">$AA15*#REF!</f>
        <v>#REF!</v>
      </c>
      <c r="CJ15" s="32" t="e">
        <f t="shared" ref="CJ15:CO22" si="624">$AA15*#REF!</f>
        <v>#REF!</v>
      </c>
      <c r="CK15" s="32" t="e">
        <f t="shared" ref="CK15:CP22" si="625">$AA15*#REF!</f>
        <v>#REF!</v>
      </c>
      <c r="CL15" s="32" t="e">
        <f t="shared" ref="CL15:CQ22" si="626">$AA15*#REF!</f>
        <v>#REF!</v>
      </c>
      <c r="CM15" s="34" t="e">
        <f t="shared" ref="CM15:CR22" si="627">$AA15*#REF!</f>
        <v>#REF!</v>
      </c>
      <c r="CN15" s="32" t="e">
        <f t="shared" ca="1" si="138"/>
        <v>#REF!</v>
      </c>
      <c r="CO15" s="32" t="e">
        <f t="shared" ref="CO15:CO22" si="628">$B15*#REF!</f>
        <v>#REF!</v>
      </c>
      <c r="CP15" s="32" t="e">
        <f ca="1">$B$72/CP3*$AA15*#REF!</f>
        <v>#REF!</v>
      </c>
      <c r="CQ15" s="32" t="e">
        <f t="shared" ref="CQ15:CQ22" si="629">$AA15*#REF!</f>
        <v>#REF!</v>
      </c>
      <c r="CR15" s="33" t="e">
        <f t="shared" ca="1" si="53"/>
        <v>#REF!</v>
      </c>
      <c r="CS15" s="32" t="e">
        <f t="shared" ref="CS15:CS22" si="630">$B15*#REF!</f>
        <v>#REF!</v>
      </c>
      <c r="CT15" s="32" t="e">
        <f ca="1">$B$72/CT3*$AA15*#REF!</f>
        <v>#REF!</v>
      </c>
      <c r="CU15" s="34" t="e">
        <f t="shared" ref="CU15:CU22" si="631">$AA15*#REF!</f>
        <v>#REF!</v>
      </c>
      <c r="CV15" s="32" t="e">
        <f t="shared" ca="1" si="54"/>
        <v>#REF!</v>
      </c>
      <c r="CW15" s="32" t="e">
        <f t="shared" ref="CW15:CW22" si="632">$B15*#REF!</f>
        <v>#REF!</v>
      </c>
      <c r="CX15" s="32" t="e">
        <f ca="1">$B$72/CX3*$AA15*#REF!</f>
        <v>#REF!</v>
      </c>
      <c r="CY15" s="32" t="e">
        <f t="shared" ref="CY15:CY22" si="633">$AA15*#REF!</f>
        <v>#REF!</v>
      </c>
      <c r="CZ15" s="33" t="e">
        <f t="shared" ca="1" si="55"/>
        <v>#REF!</v>
      </c>
      <c r="DA15" s="32" t="e">
        <f t="shared" ref="DA15:DA22" si="634">$B15*#REF!</f>
        <v>#REF!</v>
      </c>
      <c r="DB15" s="32" t="e">
        <f ca="1">$B$72/DB3*$AA15*#REF!</f>
        <v>#REF!</v>
      </c>
      <c r="DC15" s="34" t="e">
        <f t="shared" ref="DC15:DC22" si="635">$AA15*#REF!</f>
        <v>#REF!</v>
      </c>
      <c r="DD15" s="32" t="e">
        <f t="shared" ca="1" si="56"/>
        <v>#REF!</v>
      </c>
      <c r="DE15" s="32" t="e">
        <f t="shared" ref="DE15:DE22" si="636">$B15*#REF!</f>
        <v>#REF!</v>
      </c>
      <c r="DF15" s="32" t="e">
        <f ca="1">$B$72/DF3*$AA15*#REF!</f>
        <v>#REF!</v>
      </c>
      <c r="DG15" s="34" t="e">
        <f t="shared" ref="DG15:DG22" si="637">$AA15*#REF!</f>
        <v>#REF!</v>
      </c>
      <c r="DH15" s="32" t="e">
        <f t="shared" ca="1" si="57"/>
        <v>#REF!</v>
      </c>
      <c r="DI15" s="32" t="e">
        <f t="shared" ref="DI15:DI22" si="638">$B15*#REF!</f>
        <v>#REF!</v>
      </c>
      <c r="DJ15" s="32" t="e">
        <f ca="1">$B$72/DJ3*$AA15*#REF!</f>
        <v>#REF!</v>
      </c>
      <c r="DK15" s="32" t="e">
        <f t="shared" ref="DK15:DK22" si="639">$AA15*#REF!</f>
        <v>#REF!</v>
      </c>
      <c r="DL15" s="33" t="e">
        <f t="shared" ref="DL15:DM22" si="640">$B15*#REF!</f>
        <v>#REF!</v>
      </c>
      <c r="DM15" s="32" t="e">
        <f t="shared" ref="DM15:DN22" si="641">$B15*#REF!</f>
        <v>#REF!</v>
      </c>
      <c r="DN15" s="32" t="e">
        <f t="shared" ref="DN15:DW22" si="642">$B15*#REF!</f>
        <v>#REF!</v>
      </c>
      <c r="DO15" s="32" t="e">
        <f t="shared" ref="DO15:DX22" si="643">$B15*#REF!</f>
        <v>#REF!</v>
      </c>
      <c r="DP15" s="32" t="e">
        <f t="shared" ref="DP15:DY22" si="644">$B15*#REF!</f>
        <v>#REF!</v>
      </c>
      <c r="DQ15" s="32" t="e">
        <f t="shared" ref="DQ15:DZ22" si="645">$B15*#REF!</f>
        <v>#REF!</v>
      </c>
      <c r="DR15" s="32" t="e">
        <f t="shared" ref="DR15:EA22" si="646">$B15*#REF!</f>
        <v>#REF!</v>
      </c>
      <c r="DS15" s="32" t="e">
        <f t="shared" ref="DS15:EB22" si="647">$B15*#REF!</f>
        <v>#REF!</v>
      </c>
      <c r="DT15" s="32" t="e">
        <f t="shared" ref="DT15:EC22" si="648">$B15*#REF!</f>
        <v>#REF!</v>
      </c>
      <c r="DU15" s="32" t="e">
        <f t="shared" ref="DU15:ED22" si="649">$B15*#REF!</f>
        <v>#REF!</v>
      </c>
      <c r="DV15" s="32" t="e">
        <f t="shared" ref="DV15:EE22" si="650">$B15*#REF!</f>
        <v>#REF!</v>
      </c>
      <c r="DW15" s="34" t="e">
        <f t="shared" ref="DW15:EE22" si="651">$B15*#REF!</f>
        <v>#REF!</v>
      </c>
      <c r="DX15" s="32" t="e">
        <f t="shared" ca="1" si="163"/>
        <v>#REF!</v>
      </c>
      <c r="DY15" s="32" t="e">
        <f t="shared" ref="DY15:DY22" si="652">$B15*#REF!</f>
        <v>#REF!</v>
      </c>
      <c r="DZ15" s="32" t="e">
        <f ca="1">$B$72/DZ3*$B15*#REF!</f>
        <v>#REF!</v>
      </c>
      <c r="EA15" s="34" t="e">
        <f t="shared" ref="EA15:EA22" si="653">$B15*#REF!</f>
        <v>#REF!</v>
      </c>
      <c r="EB15" s="34" t="e">
        <f t="shared" ref="EB15:EB22" si="654">$AA15*#REF!</f>
        <v>#REF!</v>
      </c>
      <c r="EC15" s="32" t="e">
        <f t="shared" ref="EC15:ED22" si="655">$B15*#REF!</f>
        <v>#REF!</v>
      </c>
      <c r="ED15" s="34" t="e">
        <f t="shared" ref="ED15:EE22" si="656">$B15*#REF!</f>
        <v>#REF!</v>
      </c>
      <c r="EE15" s="31" t="e">
        <f t="shared" ref="EE15:EE22" si="657">$B15*#REF!</f>
        <v>#REF!</v>
      </c>
    </row>
    <row r="16" spans="1:135" x14ac:dyDescent="0.25">
      <c r="A16" s="5" t="s">
        <v>133</v>
      </c>
      <c r="B16" s="32">
        <f>IF([1]Inputs!$E$16=1,[1]Inputs!F1218,IF([1]Inputs!$E$16=2,[1]Inputs!G1218,[1]Inputs!H1218))</f>
        <v>0</v>
      </c>
      <c r="C16" s="32" t="e">
        <f t="shared" ref="C16:N16" si="658">$B16*#REF!</f>
        <v>#REF!</v>
      </c>
      <c r="D16" s="32" t="e">
        <f t="shared" ref="D16:O16" si="659">$B16*#REF!</f>
        <v>#REF!</v>
      </c>
      <c r="E16" s="32" t="e">
        <f t="shared" ref="E16:P16" si="660">$B16*#REF!</f>
        <v>#REF!</v>
      </c>
      <c r="F16" s="32" t="e">
        <f t="shared" ref="F16:Q16" si="661">$B16*#REF!</f>
        <v>#REF!</v>
      </c>
      <c r="G16" s="32" t="e">
        <f t="shared" ref="G16:R16" si="662">$B16*#REF!</f>
        <v>#REF!</v>
      </c>
      <c r="H16" s="32" t="e">
        <f t="shared" ref="H16:S16" si="663">$B16*#REF!</f>
        <v>#REF!</v>
      </c>
      <c r="I16" s="32" t="e">
        <f t="shared" ref="I16:T16" si="664">$B16*#REF!</f>
        <v>#REF!</v>
      </c>
      <c r="J16" s="32" t="e">
        <f t="shared" ref="J16:U16" si="665">$B16*#REF!</f>
        <v>#REF!</v>
      </c>
      <c r="K16" s="32" t="e">
        <f t="shared" ref="K16:V16" si="666">$B16*#REF!</f>
        <v>#REF!</v>
      </c>
      <c r="L16" s="32" t="e">
        <f t="shared" ref="L16:W16" si="667">$B16*#REF!</f>
        <v>#REF!</v>
      </c>
      <c r="M16" s="32" t="e">
        <f t="shared" ref="M16:X16" si="668">$B16*#REF!</f>
        <v>#REF!</v>
      </c>
      <c r="N16" s="32" t="e">
        <f t="shared" ref="N16:Y16" si="669">$B16*#REF!</f>
        <v>#REF!</v>
      </c>
      <c r="O16" s="32" t="e">
        <f t="shared" ref="O16:P23" si="670">$B16*#REF!</f>
        <v>#REF!</v>
      </c>
      <c r="P16" s="32" t="e">
        <f t="shared" ref="P16:Q23" si="671">$B16*#REF!</f>
        <v>#REF!</v>
      </c>
      <c r="Q16" s="32" t="e">
        <f t="shared" ref="Q16:Q21" si="672">$B16*#REF!</f>
        <v>#REF!</v>
      </c>
      <c r="R16" s="32" t="e">
        <f t="shared" ref="R16:R21" si="673">$B16*#REF!</f>
        <v>#REF!</v>
      </c>
      <c r="S16" s="32">
        <f t="shared" si="183"/>
        <v>0</v>
      </c>
      <c r="T16" s="32">
        <f t="shared" si="183"/>
        <v>0</v>
      </c>
      <c r="U16" s="32">
        <f t="shared" si="183"/>
        <v>0</v>
      </c>
      <c r="V16" s="33" t="e">
        <f t="shared" ref="V16:Z23" si="674">$B16*#REF!</f>
        <v>#REF!</v>
      </c>
      <c r="W16" s="32" t="e">
        <f t="shared" ref="W16:AA23" si="675">$B16*#REF!</f>
        <v>#REF!</v>
      </c>
      <c r="X16" s="32" t="e">
        <f t="shared" ref="X16:AB23" si="676">$B16*#REF!</f>
        <v>#REF!</v>
      </c>
      <c r="Y16" s="32" t="e">
        <f t="shared" ref="Y16:AC23" si="677">$B16*#REF!</f>
        <v>#REF!</v>
      </c>
      <c r="Z16" s="34" t="e">
        <f t="shared" ref="Z16:AD23" si="678">$B16*#REF!</f>
        <v>#REF!</v>
      </c>
      <c r="AA16" s="32">
        <f>IF([1]Inputs!$E$16=1,[1]Inputs!I1218,IF([1]Inputs!$E$16=2,[1]Inputs!J1218,[1]Inputs!K1218))</f>
        <v>0</v>
      </c>
      <c r="AB16" s="32" t="e">
        <f t="shared" ref="AB16:AG23" si="679">$AA16*#REF!</f>
        <v>#REF!</v>
      </c>
      <c r="AC16" s="32" t="e">
        <f t="shared" ref="AC16:AH23" si="680">$AA16*#REF!</f>
        <v>#REF!</v>
      </c>
      <c r="AD16" s="32" t="e">
        <f t="shared" ref="AD16:AI23" si="681">$AA16*#REF!</f>
        <v>#REF!</v>
      </c>
      <c r="AE16" s="32" t="e">
        <f t="shared" ref="AE16:AJ23" si="682">$AA16*#REF!</f>
        <v>#REF!</v>
      </c>
      <c r="AF16" s="32" t="e">
        <f t="shared" ref="AF16:AK23" si="683">$AA16*#REF!</f>
        <v>#REF!</v>
      </c>
      <c r="AG16" s="32" t="e">
        <f t="shared" ref="AG16:AL23" si="684">$AA16*#REF!</f>
        <v>#REF!</v>
      </c>
      <c r="AH16" s="33" t="e">
        <f t="shared" ref="AH16:AQ23" si="685">$B16*#REF!</f>
        <v>#REF!</v>
      </c>
      <c r="AI16" s="32" t="e">
        <f t="shared" ref="AI16:AR23" si="686">$B16*#REF!</f>
        <v>#REF!</v>
      </c>
      <c r="AJ16" s="32" t="e">
        <f t="shared" ref="AJ16:AS23" si="687">$B16*#REF!</f>
        <v>#REF!</v>
      </c>
      <c r="AK16" s="32" t="e">
        <f t="shared" ref="AK16:AT23" si="688">$B16*#REF!</f>
        <v>#REF!</v>
      </c>
      <c r="AL16" s="32" t="e">
        <f t="shared" ref="AL16:AU23" si="689">$B16*#REF!</f>
        <v>#REF!</v>
      </c>
      <c r="AM16" s="32" t="e">
        <f t="shared" ref="AM16:AV23" si="690">$B16*#REF!</f>
        <v>#REF!</v>
      </c>
      <c r="AN16" s="32" t="e">
        <f t="shared" ref="AN16:AW23" si="691">$B16*#REF!</f>
        <v>#REF!</v>
      </c>
      <c r="AO16" s="32" t="e">
        <f t="shared" ref="AO16:AX23" si="692">$B16*#REF!</f>
        <v>#REF!</v>
      </c>
      <c r="AP16" s="32" t="e">
        <f t="shared" ref="AP16:AY23" si="693">$B16*#REF!</f>
        <v>#REF!</v>
      </c>
      <c r="AQ16" s="32" t="e">
        <f t="shared" ref="AQ16:AZ23" si="694">$B16*#REF!</f>
        <v>#REF!</v>
      </c>
      <c r="AR16" s="34" t="e">
        <f t="shared" ref="AR16:AR23" si="695">$B16*#REF!</f>
        <v>#REF!</v>
      </c>
      <c r="AS16" s="32" t="e">
        <f t="shared" si="99"/>
        <v>#DIV/0!</v>
      </c>
      <c r="AT16" s="32" t="e">
        <f t="shared" ref="AT16:AT23" si="696">$B16*#REF!</f>
        <v>#REF!</v>
      </c>
      <c r="AU16" s="32" t="e">
        <f t="shared" ref="AU16:AU23" si="697">$B$72/AU$72*$B16*#REF!</f>
        <v>#DIV/0!</v>
      </c>
      <c r="AV16" s="32" t="e">
        <f t="shared" ref="AV16:AV23" si="698">$B16*#REF!</f>
        <v>#REF!</v>
      </c>
      <c r="AW16" s="33" t="e">
        <f t="shared" si="103"/>
        <v>#DIV/0!</v>
      </c>
      <c r="AX16" s="32" t="e">
        <f t="shared" ref="AX16:AX23" si="699">$B16*#REF!</f>
        <v>#REF!</v>
      </c>
      <c r="AY16" s="32" t="e">
        <f t="shared" ref="AY16:AY23" si="700">$B$72/AY$72*$B16*#REF!</f>
        <v>#DIV/0!</v>
      </c>
      <c r="AZ16" s="34" t="e">
        <f t="shared" ref="AZ16:AZ23" si="701">$B16*#REF!</f>
        <v>#REF!</v>
      </c>
      <c r="BA16" s="33" t="e">
        <f t="shared" si="58"/>
        <v>#DIV/0!</v>
      </c>
      <c r="BB16" s="32" t="e">
        <f t="shared" ref="BB16:BB23" si="702">$B16*#REF!</f>
        <v>#REF!</v>
      </c>
      <c r="BC16" s="32" t="e">
        <f t="shared" ref="BC16:BC23" si="703">$B$72/BC$72*$B16*#REF!</f>
        <v>#DIV/0!</v>
      </c>
      <c r="BD16" s="34" t="e">
        <f t="shared" ref="BD16:BD23" si="704">$B16*#REF!</f>
        <v>#REF!</v>
      </c>
      <c r="BE16" s="32" t="e">
        <f t="shared" ca="1" si="110"/>
        <v>#REF!</v>
      </c>
      <c r="BF16" s="32" t="e">
        <f t="shared" ref="BF16:BF23" si="705">$B16*#REF!</f>
        <v>#REF!</v>
      </c>
      <c r="BG16" s="32" t="e">
        <f ca="1">$B$72/BG3*$B16*#REF!</f>
        <v>#REF!</v>
      </c>
      <c r="BH16" s="32" t="e">
        <f t="shared" ref="BH16:BH23" si="706">$B16*#REF!</f>
        <v>#REF!</v>
      </c>
      <c r="BI16" s="33" t="e">
        <f t="shared" ca="1" si="113"/>
        <v>#REF!</v>
      </c>
      <c r="BJ16" s="32" t="e">
        <f t="shared" ref="BJ16:BJ23" si="707">$B16*#REF!</f>
        <v>#REF!</v>
      </c>
      <c r="BK16" s="32" t="e">
        <f ca="1">$B$72/BK3*$B16*#REF!</f>
        <v>#REF!</v>
      </c>
      <c r="BL16" s="34" t="e">
        <f t="shared" ref="BL16:BL23" si="708">$B16*#REF!</f>
        <v>#REF!</v>
      </c>
      <c r="BM16" s="32" t="e">
        <f t="shared" ca="1" si="116"/>
        <v>#REF!</v>
      </c>
      <c r="BN16" s="32" t="e">
        <f t="shared" ref="BN16:BN23" si="709">$B16*#REF!</f>
        <v>#REF!</v>
      </c>
      <c r="BO16" s="32" t="e">
        <f ca="1">$B$72/BO3*$B16*#REF!</f>
        <v>#REF!</v>
      </c>
      <c r="BP16" s="32" t="e">
        <f t="shared" ref="BP16:BP23" si="710">$B16*#REF!</f>
        <v>#REF!</v>
      </c>
      <c r="BQ16" s="33" t="e">
        <f t="shared" ca="1" si="119"/>
        <v>#REF!</v>
      </c>
      <c r="BR16" s="32" t="e">
        <f t="shared" ref="BR16:BR23" si="711">$B16*#REF!</f>
        <v>#REF!</v>
      </c>
      <c r="BS16" s="32" t="e">
        <f ca="1">$B$72/BS3*$B16*#REF!</f>
        <v>#REF!</v>
      </c>
      <c r="BT16" s="34" t="e">
        <f t="shared" ref="BT16:BT23" si="712">$B16*#REF!</f>
        <v>#REF!</v>
      </c>
      <c r="BU16" s="32" t="e">
        <f t="shared" ca="1" si="122"/>
        <v>#REF!</v>
      </c>
      <c r="BV16" s="32" t="e">
        <f t="shared" ref="BV16:BV23" si="713">$B16*#REF!</f>
        <v>#REF!</v>
      </c>
      <c r="BW16" s="32" t="e">
        <f ca="1">$B$72/BW3*$B16*#REF!</f>
        <v>#REF!</v>
      </c>
      <c r="BX16" s="32" t="e">
        <f t="shared" ref="BX16:BX23" si="714">$B16*#REF!</f>
        <v>#REF!</v>
      </c>
      <c r="BY16" s="33" t="e">
        <f t="shared" ca="1" si="125"/>
        <v>#REF!</v>
      </c>
      <c r="BZ16" s="32" t="e">
        <f t="shared" ref="BZ16:BZ23" si="715">$B16*#REF!</f>
        <v>#REF!</v>
      </c>
      <c r="CA16" s="32" t="e">
        <f ca="1">$B$72/CA3*$B16*#REF!</f>
        <v>#REF!</v>
      </c>
      <c r="CB16" s="34" t="e">
        <f t="shared" ref="CB16:CB23" si="716">$B16*#REF!</f>
        <v>#REF!</v>
      </c>
      <c r="CC16" s="32" t="e">
        <f t="shared" ca="1" si="128"/>
        <v>#REF!</v>
      </c>
      <c r="CD16" s="32" t="e">
        <f t="shared" ref="CD16:CD23" si="717">$B16*#REF!</f>
        <v>#REF!</v>
      </c>
      <c r="CE16" s="32" t="e">
        <f ca="1">$B$72/CE3*$B16*#REF!</f>
        <v>#REF!</v>
      </c>
      <c r="CF16" s="32" t="e">
        <f t="shared" ref="CF16:CF23" si="718">$B16*#REF!</f>
        <v>#REF!</v>
      </c>
      <c r="CG16" s="32" t="e">
        <f t="shared" ref="CG16:CG23" si="719">$B16*#REF!</f>
        <v>#REF!</v>
      </c>
      <c r="CH16" s="33" t="e">
        <f t="shared" ref="CH16:CM23" si="720">$AA16*#REF!</f>
        <v>#REF!</v>
      </c>
      <c r="CI16" s="32" t="e">
        <f t="shared" ref="CI16:CN23" si="721">$AA16*#REF!</f>
        <v>#REF!</v>
      </c>
      <c r="CJ16" s="32" t="e">
        <f t="shared" ref="CJ16:CO23" si="722">$AA16*#REF!</f>
        <v>#REF!</v>
      </c>
      <c r="CK16" s="32" t="e">
        <f t="shared" ref="CK16:CP23" si="723">$AA16*#REF!</f>
        <v>#REF!</v>
      </c>
      <c r="CL16" s="32" t="e">
        <f t="shared" ref="CL16:CQ23" si="724">$AA16*#REF!</f>
        <v>#REF!</v>
      </c>
      <c r="CM16" s="34" t="e">
        <f t="shared" ref="CM16:CR23" si="725">$AA16*#REF!</f>
        <v>#REF!</v>
      </c>
      <c r="CN16" s="32" t="e">
        <f t="shared" ca="1" si="138"/>
        <v>#REF!</v>
      </c>
      <c r="CO16" s="32" t="e">
        <f t="shared" ref="CO16:CO23" si="726">$B16*#REF!</f>
        <v>#REF!</v>
      </c>
      <c r="CP16" s="32" t="e">
        <f ca="1">$B$72/CP3*$AA16*#REF!</f>
        <v>#REF!</v>
      </c>
      <c r="CQ16" s="32" t="e">
        <f t="shared" ref="CQ16:CQ23" si="727">$AA16*#REF!</f>
        <v>#REF!</v>
      </c>
      <c r="CR16" s="33" t="e">
        <f t="shared" ca="1" si="53"/>
        <v>#REF!</v>
      </c>
      <c r="CS16" s="32" t="e">
        <f t="shared" ref="CS16:CS23" si="728">$B16*#REF!</f>
        <v>#REF!</v>
      </c>
      <c r="CT16" s="32" t="e">
        <f ca="1">$B$72/CT3*$AA16*#REF!</f>
        <v>#REF!</v>
      </c>
      <c r="CU16" s="34" t="e">
        <f t="shared" ref="CU16:CU23" si="729">$AA16*#REF!</f>
        <v>#REF!</v>
      </c>
      <c r="CV16" s="32" t="e">
        <f t="shared" ca="1" si="54"/>
        <v>#REF!</v>
      </c>
      <c r="CW16" s="32" t="e">
        <f t="shared" ref="CW16:CW23" si="730">$B16*#REF!</f>
        <v>#REF!</v>
      </c>
      <c r="CX16" s="32" t="e">
        <f ca="1">$B$72/CX3*$AA16*#REF!</f>
        <v>#REF!</v>
      </c>
      <c r="CY16" s="32" t="e">
        <f t="shared" ref="CY16:CY23" si="731">$AA16*#REF!</f>
        <v>#REF!</v>
      </c>
      <c r="CZ16" s="33" t="e">
        <f t="shared" ca="1" si="55"/>
        <v>#REF!</v>
      </c>
      <c r="DA16" s="32" t="e">
        <f t="shared" ref="DA16:DA23" si="732">$B16*#REF!</f>
        <v>#REF!</v>
      </c>
      <c r="DB16" s="32" t="e">
        <f ca="1">$B$72/DB3*$AA16*#REF!</f>
        <v>#REF!</v>
      </c>
      <c r="DC16" s="34" t="e">
        <f t="shared" ref="DC16:DC23" si="733">$AA16*#REF!</f>
        <v>#REF!</v>
      </c>
      <c r="DD16" s="32" t="e">
        <f t="shared" ca="1" si="56"/>
        <v>#REF!</v>
      </c>
      <c r="DE16" s="32" t="e">
        <f t="shared" ref="DE16:DE23" si="734">$B16*#REF!</f>
        <v>#REF!</v>
      </c>
      <c r="DF16" s="32" t="e">
        <f ca="1">$B$72/DF3*$AA16*#REF!</f>
        <v>#REF!</v>
      </c>
      <c r="DG16" s="34" t="e">
        <f t="shared" ref="DG16:DG23" si="735">$AA16*#REF!</f>
        <v>#REF!</v>
      </c>
      <c r="DH16" s="32" t="e">
        <f t="shared" ca="1" si="57"/>
        <v>#REF!</v>
      </c>
      <c r="DI16" s="32" t="e">
        <f t="shared" ref="DI16:DI23" si="736">$B16*#REF!</f>
        <v>#REF!</v>
      </c>
      <c r="DJ16" s="32" t="e">
        <f ca="1">$B$72/DJ3*$AA16*#REF!</f>
        <v>#REF!</v>
      </c>
      <c r="DK16" s="32" t="e">
        <f t="shared" ref="DK16:DK23" si="737">$AA16*#REF!</f>
        <v>#REF!</v>
      </c>
      <c r="DL16" s="33" t="e">
        <f t="shared" ref="DL16:DM23" si="738">$B16*#REF!</f>
        <v>#REF!</v>
      </c>
      <c r="DM16" s="32" t="e">
        <f t="shared" ref="DM16:DN23" si="739">$B16*#REF!</f>
        <v>#REF!</v>
      </c>
      <c r="DN16" s="32" t="e">
        <f t="shared" ref="DN16:DW23" si="740">$B16*#REF!</f>
        <v>#REF!</v>
      </c>
      <c r="DO16" s="32" t="e">
        <f t="shared" ref="DO16:DX23" si="741">$B16*#REF!</f>
        <v>#REF!</v>
      </c>
      <c r="DP16" s="32" t="e">
        <f t="shared" ref="DP16:DY23" si="742">$B16*#REF!</f>
        <v>#REF!</v>
      </c>
      <c r="DQ16" s="32" t="e">
        <f t="shared" ref="DQ16:DZ23" si="743">$B16*#REF!</f>
        <v>#REF!</v>
      </c>
      <c r="DR16" s="32" t="e">
        <f t="shared" ref="DR16:EA23" si="744">$B16*#REF!</f>
        <v>#REF!</v>
      </c>
      <c r="DS16" s="32" t="e">
        <f t="shared" ref="DS16:EB23" si="745">$B16*#REF!</f>
        <v>#REF!</v>
      </c>
      <c r="DT16" s="32" t="e">
        <f t="shared" ref="DT16:EC23" si="746">$B16*#REF!</f>
        <v>#REF!</v>
      </c>
      <c r="DU16" s="32" t="e">
        <f t="shared" ref="DU16:ED23" si="747">$B16*#REF!</f>
        <v>#REF!</v>
      </c>
      <c r="DV16" s="32" t="e">
        <f t="shared" ref="DV16:EE23" si="748">$B16*#REF!</f>
        <v>#REF!</v>
      </c>
      <c r="DW16" s="34" t="e">
        <f t="shared" ref="DW16:EE23" si="749">$B16*#REF!</f>
        <v>#REF!</v>
      </c>
      <c r="DX16" s="32" t="e">
        <f t="shared" ca="1" si="163"/>
        <v>#REF!</v>
      </c>
      <c r="DY16" s="32" t="e">
        <f t="shared" ref="DY16:DY23" si="750">$B16*#REF!</f>
        <v>#REF!</v>
      </c>
      <c r="DZ16" s="32" t="e">
        <f ca="1">$B$72/DZ3*$B16*#REF!</f>
        <v>#REF!</v>
      </c>
      <c r="EA16" s="34" t="e">
        <f t="shared" ref="EA16:EA23" si="751">$B16*#REF!</f>
        <v>#REF!</v>
      </c>
      <c r="EB16" s="34" t="e">
        <f t="shared" ref="EB16:EB23" si="752">$AA16*#REF!</f>
        <v>#REF!</v>
      </c>
      <c r="EC16" s="32" t="e">
        <f t="shared" ref="EC16:ED23" si="753">$B16*#REF!</f>
        <v>#REF!</v>
      </c>
      <c r="ED16" s="34" t="e">
        <f t="shared" ref="ED16:EE23" si="754">$B16*#REF!</f>
        <v>#REF!</v>
      </c>
      <c r="EE16" s="31" t="e">
        <f t="shared" ref="EE16:EE23" si="755">$B16*#REF!</f>
        <v>#REF!</v>
      </c>
    </row>
    <row r="17" spans="1:135" x14ac:dyDescent="0.25">
      <c r="A17" s="5" t="s">
        <v>134</v>
      </c>
      <c r="B17" s="32">
        <f>IF([1]Inputs!$E$16=1,[1]Inputs!F1219,IF([1]Inputs!$E$16=2,[1]Inputs!G1219,[1]Inputs!H1219))</f>
        <v>0</v>
      </c>
      <c r="C17" s="32" t="e">
        <f t="shared" ref="C17:N17" si="756">$B17*#REF!</f>
        <v>#REF!</v>
      </c>
      <c r="D17" s="32" t="e">
        <f t="shared" ref="D17:O17" si="757">$B17*#REF!</f>
        <v>#REF!</v>
      </c>
      <c r="E17" s="32" t="e">
        <f t="shared" ref="E17:P17" si="758">$B17*#REF!</f>
        <v>#REF!</v>
      </c>
      <c r="F17" s="32" t="e">
        <f t="shared" ref="F17:Q17" si="759">$B17*#REF!</f>
        <v>#REF!</v>
      </c>
      <c r="G17" s="32" t="e">
        <f t="shared" ref="G17:R17" si="760">$B17*#REF!</f>
        <v>#REF!</v>
      </c>
      <c r="H17" s="32" t="e">
        <f t="shared" ref="H17:S17" si="761">$B17*#REF!</f>
        <v>#REF!</v>
      </c>
      <c r="I17" s="32" t="e">
        <f t="shared" ref="I17:T17" si="762">$B17*#REF!</f>
        <v>#REF!</v>
      </c>
      <c r="J17" s="32" t="e">
        <f t="shared" ref="J17:U17" si="763">$B17*#REF!</f>
        <v>#REF!</v>
      </c>
      <c r="K17" s="32" t="e">
        <f t="shared" ref="K17:V17" si="764">$B17*#REF!</f>
        <v>#REF!</v>
      </c>
      <c r="L17" s="32" t="e">
        <f t="shared" ref="L17:W17" si="765">$B17*#REF!</f>
        <v>#REF!</v>
      </c>
      <c r="M17" s="32" t="e">
        <f t="shared" ref="M17:X17" si="766">$B17*#REF!</f>
        <v>#REF!</v>
      </c>
      <c r="N17" s="32" t="e">
        <f t="shared" ref="N17:Y17" si="767">$B17*#REF!</f>
        <v>#REF!</v>
      </c>
      <c r="O17" s="32" t="e">
        <f t="shared" ref="O17:P24" si="768">$B17*#REF!</f>
        <v>#REF!</v>
      </c>
      <c r="P17" s="32" t="e">
        <f t="shared" ref="P17:Q24" si="769">$B17*#REF!</f>
        <v>#REF!</v>
      </c>
      <c r="Q17" s="32" t="e">
        <f t="shared" ref="Q17:Q22" si="770">$B17*#REF!</f>
        <v>#REF!</v>
      </c>
      <c r="R17" s="32" t="e">
        <f t="shared" ref="R17:R22" si="771">$B17*#REF!</f>
        <v>#REF!</v>
      </c>
      <c r="S17" s="32">
        <f t="shared" si="183"/>
        <v>0</v>
      </c>
      <c r="T17" s="32">
        <f t="shared" si="183"/>
        <v>0</v>
      </c>
      <c r="U17" s="32">
        <f t="shared" si="183"/>
        <v>0</v>
      </c>
      <c r="V17" s="33" t="e">
        <f t="shared" ref="V17:Z24" si="772">$B17*#REF!</f>
        <v>#REF!</v>
      </c>
      <c r="W17" s="32" t="e">
        <f t="shared" ref="W17:AA24" si="773">$B17*#REF!</f>
        <v>#REF!</v>
      </c>
      <c r="X17" s="32" t="e">
        <f t="shared" ref="X17:AB24" si="774">$B17*#REF!</f>
        <v>#REF!</v>
      </c>
      <c r="Y17" s="32" t="e">
        <f t="shared" ref="Y17:AC24" si="775">$B17*#REF!</f>
        <v>#REF!</v>
      </c>
      <c r="Z17" s="34" t="e">
        <f t="shared" ref="Z17:AD24" si="776">$B17*#REF!</f>
        <v>#REF!</v>
      </c>
      <c r="AA17" s="32">
        <f>IF([1]Inputs!$E$16=1,[1]Inputs!I1219,IF([1]Inputs!$E$16=2,[1]Inputs!J1219,[1]Inputs!K1219))</f>
        <v>0</v>
      </c>
      <c r="AB17" s="32" t="e">
        <f t="shared" ref="AB17:AG24" si="777">$AA17*#REF!</f>
        <v>#REF!</v>
      </c>
      <c r="AC17" s="32" t="e">
        <f t="shared" ref="AC17:AH24" si="778">$AA17*#REF!</f>
        <v>#REF!</v>
      </c>
      <c r="AD17" s="32" t="e">
        <f t="shared" ref="AD17:AI24" si="779">$AA17*#REF!</f>
        <v>#REF!</v>
      </c>
      <c r="AE17" s="32" t="e">
        <f t="shared" ref="AE17:AJ24" si="780">$AA17*#REF!</f>
        <v>#REF!</v>
      </c>
      <c r="AF17" s="32" t="e">
        <f t="shared" ref="AF17:AK24" si="781">$AA17*#REF!</f>
        <v>#REF!</v>
      </c>
      <c r="AG17" s="32" t="e">
        <f t="shared" ref="AG17:AL24" si="782">$AA17*#REF!</f>
        <v>#REF!</v>
      </c>
      <c r="AH17" s="33" t="e">
        <f t="shared" ref="AH17:AQ24" si="783">$B17*#REF!</f>
        <v>#REF!</v>
      </c>
      <c r="AI17" s="32" t="e">
        <f t="shared" ref="AI17:AR24" si="784">$B17*#REF!</f>
        <v>#REF!</v>
      </c>
      <c r="AJ17" s="32" t="e">
        <f t="shared" ref="AJ17:AS24" si="785">$B17*#REF!</f>
        <v>#REF!</v>
      </c>
      <c r="AK17" s="32" t="e">
        <f t="shared" ref="AK17:AT24" si="786">$B17*#REF!</f>
        <v>#REF!</v>
      </c>
      <c r="AL17" s="32" t="e">
        <f t="shared" ref="AL17:AU24" si="787">$B17*#REF!</f>
        <v>#REF!</v>
      </c>
      <c r="AM17" s="32" t="e">
        <f t="shared" ref="AM17:AV24" si="788">$B17*#REF!</f>
        <v>#REF!</v>
      </c>
      <c r="AN17" s="32" t="e">
        <f t="shared" ref="AN17:AW24" si="789">$B17*#REF!</f>
        <v>#REF!</v>
      </c>
      <c r="AO17" s="32" t="e">
        <f t="shared" ref="AO17:AX24" si="790">$B17*#REF!</f>
        <v>#REF!</v>
      </c>
      <c r="AP17" s="32" t="e">
        <f t="shared" ref="AP17:AY24" si="791">$B17*#REF!</f>
        <v>#REF!</v>
      </c>
      <c r="AQ17" s="32" t="e">
        <f t="shared" ref="AQ17:AZ24" si="792">$B17*#REF!</f>
        <v>#REF!</v>
      </c>
      <c r="AR17" s="34" t="e">
        <f t="shared" ref="AR17:AR24" si="793">$B17*#REF!</f>
        <v>#REF!</v>
      </c>
      <c r="AS17" s="32" t="e">
        <f t="shared" si="99"/>
        <v>#DIV/0!</v>
      </c>
      <c r="AT17" s="32" t="e">
        <f t="shared" ref="AT17:AT24" si="794">$B17*#REF!</f>
        <v>#REF!</v>
      </c>
      <c r="AU17" s="32" t="e">
        <f t="shared" ref="AU17:AU24" si="795">$B$72/AU$72*$B17*#REF!</f>
        <v>#DIV/0!</v>
      </c>
      <c r="AV17" s="32" t="e">
        <f t="shared" ref="AV17:AV24" si="796">$B17*#REF!</f>
        <v>#REF!</v>
      </c>
      <c r="AW17" s="33" t="e">
        <f t="shared" si="103"/>
        <v>#DIV/0!</v>
      </c>
      <c r="AX17" s="32" t="e">
        <f t="shared" ref="AX17:AX24" si="797">$B17*#REF!</f>
        <v>#REF!</v>
      </c>
      <c r="AY17" s="32" t="e">
        <f t="shared" ref="AY17:AY24" si="798">$B$72/AY$72*$B17*#REF!</f>
        <v>#DIV/0!</v>
      </c>
      <c r="AZ17" s="34" t="e">
        <f t="shared" ref="AZ17:AZ24" si="799">$B17*#REF!</f>
        <v>#REF!</v>
      </c>
      <c r="BA17" s="33" t="e">
        <f t="shared" si="58"/>
        <v>#DIV/0!</v>
      </c>
      <c r="BB17" s="32" t="e">
        <f t="shared" ref="BB17:BB24" si="800">$B17*#REF!</f>
        <v>#REF!</v>
      </c>
      <c r="BC17" s="32" t="e">
        <f t="shared" ref="BC17:BC24" si="801">$B$72/BC$72*$B17*#REF!</f>
        <v>#DIV/0!</v>
      </c>
      <c r="BD17" s="34" t="e">
        <f t="shared" ref="BD17:BD24" si="802">$B17*#REF!</f>
        <v>#REF!</v>
      </c>
      <c r="BE17" s="32" t="e">
        <f t="shared" ca="1" si="110"/>
        <v>#REF!</v>
      </c>
      <c r="BF17" s="32" t="e">
        <f t="shared" ref="BF17:BF24" si="803">$B17*#REF!</f>
        <v>#REF!</v>
      </c>
      <c r="BG17" s="32" t="e">
        <f ca="1">$B$72/BG3*$B17*#REF!</f>
        <v>#REF!</v>
      </c>
      <c r="BH17" s="32" t="e">
        <f t="shared" ref="BH17:BH24" si="804">$B17*#REF!</f>
        <v>#REF!</v>
      </c>
      <c r="BI17" s="33" t="e">
        <f t="shared" ca="1" si="113"/>
        <v>#REF!</v>
      </c>
      <c r="BJ17" s="32" t="e">
        <f t="shared" ref="BJ17:BJ24" si="805">$B17*#REF!</f>
        <v>#REF!</v>
      </c>
      <c r="BK17" s="32" t="e">
        <f ca="1">$B$72/BK3*$B17*#REF!</f>
        <v>#REF!</v>
      </c>
      <c r="BL17" s="34" t="e">
        <f t="shared" ref="BL17:BL24" si="806">$B17*#REF!</f>
        <v>#REF!</v>
      </c>
      <c r="BM17" s="32" t="e">
        <f t="shared" ca="1" si="116"/>
        <v>#REF!</v>
      </c>
      <c r="BN17" s="32" t="e">
        <f t="shared" ref="BN17:BN24" si="807">$B17*#REF!</f>
        <v>#REF!</v>
      </c>
      <c r="BO17" s="32" t="e">
        <f ca="1">$B$72/BO3*$B17*#REF!</f>
        <v>#REF!</v>
      </c>
      <c r="BP17" s="32" t="e">
        <f t="shared" ref="BP17:BP24" si="808">$B17*#REF!</f>
        <v>#REF!</v>
      </c>
      <c r="BQ17" s="33" t="e">
        <f t="shared" ca="1" si="119"/>
        <v>#REF!</v>
      </c>
      <c r="BR17" s="32" t="e">
        <f t="shared" ref="BR17:BR24" si="809">$B17*#REF!</f>
        <v>#REF!</v>
      </c>
      <c r="BS17" s="32" t="e">
        <f ca="1">$B$72/BS3*$B17*#REF!</f>
        <v>#REF!</v>
      </c>
      <c r="BT17" s="34" t="e">
        <f t="shared" ref="BT17:BT24" si="810">$B17*#REF!</f>
        <v>#REF!</v>
      </c>
      <c r="BU17" s="32" t="e">
        <f t="shared" ca="1" si="122"/>
        <v>#REF!</v>
      </c>
      <c r="BV17" s="32" t="e">
        <f t="shared" ref="BV17:BV24" si="811">$B17*#REF!</f>
        <v>#REF!</v>
      </c>
      <c r="BW17" s="32" t="e">
        <f ca="1">$B$72/BW3*$B17*#REF!</f>
        <v>#REF!</v>
      </c>
      <c r="BX17" s="32" t="e">
        <f t="shared" ref="BX17:BX24" si="812">$B17*#REF!</f>
        <v>#REF!</v>
      </c>
      <c r="BY17" s="33" t="e">
        <f t="shared" ca="1" si="125"/>
        <v>#REF!</v>
      </c>
      <c r="BZ17" s="32" t="e">
        <f t="shared" ref="BZ17:BZ24" si="813">$B17*#REF!</f>
        <v>#REF!</v>
      </c>
      <c r="CA17" s="32" t="e">
        <f ca="1">$B$72/CA3*$B17*#REF!</f>
        <v>#REF!</v>
      </c>
      <c r="CB17" s="34" t="e">
        <f t="shared" ref="CB17:CB24" si="814">$B17*#REF!</f>
        <v>#REF!</v>
      </c>
      <c r="CC17" s="32" t="e">
        <f t="shared" ca="1" si="128"/>
        <v>#REF!</v>
      </c>
      <c r="CD17" s="32" t="e">
        <f t="shared" ref="CD17:CD24" si="815">$B17*#REF!</f>
        <v>#REF!</v>
      </c>
      <c r="CE17" s="32" t="e">
        <f ca="1">$B$72/CE3*$B17*#REF!</f>
        <v>#REF!</v>
      </c>
      <c r="CF17" s="32" t="e">
        <f t="shared" ref="CF17:CF24" si="816">$B17*#REF!</f>
        <v>#REF!</v>
      </c>
      <c r="CG17" s="32" t="e">
        <f t="shared" ref="CG17:CG24" si="817">$B17*#REF!</f>
        <v>#REF!</v>
      </c>
      <c r="CH17" s="33" t="e">
        <f t="shared" ref="CH17:CM24" si="818">$AA17*#REF!</f>
        <v>#REF!</v>
      </c>
      <c r="CI17" s="32" t="e">
        <f t="shared" ref="CI17:CN24" si="819">$AA17*#REF!</f>
        <v>#REF!</v>
      </c>
      <c r="CJ17" s="32" t="e">
        <f t="shared" ref="CJ17:CO24" si="820">$AA17*#REF!</f>
        <v>#REF!</v>
      </c>
      <c r="CK17" s="32" t="e">
        <f t="shared" ref="CK17:CP24" si="821">$AA17*#REF!</f>
        <v>#REF!</v>
      </c>
      <c r="CL17" s="32" t="e">
        <f t="shared" ref="CL17:CQ24" si="822">$AA17*#REF!</f>
        <v>#REF!</v>
      </c>
      <c r="CM17" s="34" t="e">
        <f t="shared" ref="CM17:CR24" si="823">$AA17*#REF!</f>
        <v>#REF!</v>
      </c>
      <c r="CN17" s="32" t="e">
        <f t="shared" ca="1" si="138"/>
        <v>#REF!</v>
      </c>
      <c r="CO17" s="32" t="e">
        <f t="shared" ref="CO17:CO24" si="824">$B17*#REF!</f>
        <v>#REF!</v>
      </c>
      <c r="CP17" s="32" t="e">
        <f ca="1">$B$72/CP3*$AA17*#REF!</f>
        <v>#REF!</v>
      </c>
      <c r="CQ17" s="32" t="e">
        <f t="shared" ref="CQ17:CQ24" si="825">$AA17*#REF!</f>
        <v>#REF!</v>
      </c>
      <c r="CR17" s="33" t="e">
        <f t="shared" ca="1" si="53"/>
        <v>#REF!</v>
      </c>
      <c r="CS17" s="32" t="e">
        <f t="shared" ref="CS17:CS24" si="826">$B17*#REF!</f>
        <v>#REF!</v>
      </c>
      <c r="CT17" s="32" t="e">
        <f ca="1">$B$72/CT3*$AA17*#REF!</f>
        <v>#REF!</v>
      </c>
      <c r="CU17" s="34" t="e">
        <f t="shared" ref="CU17:CU24" si="827">$AA17*#REF!</f>
        <v>#REF!</v>
      </c>
      <c r="CV17" s="32" t="e">
        <f t="shared" ca="1" si="54"/>
        <v>#REF!</v>
      </c>
      <c r="CW17" s="32" t="e">
        <f t="shared" ref="CW17:CW24" si="828">$B17*#REF!</f>
        <v>#REF!</v>
      </c>
      <c r="CX17" s="32" t="e">
        <f ca="1">$B$72/CX3*$AA17*#REF!</f>
        <v>#REF!</v>
      </c>
      <c r="CY17" s="32" t="e">
        <f t="shared" ref="CY17:CY24" si="829">$AA17*#REF!</f>
        <v>#REF!</v>
      </c>
      <c r="CZ17" s="33" t="e">
        <f t="shared" ca="1" si="55"/>
        <v>#REF!</v>
      </c>
      <c r="DA17" s="32" t="e">
        <f t="shared" ref="DA17:DA24" si="830">$B17*#REF!</f>
        <v>#REF!</v>
      </c>
      <c r="DB17" s="32" t="e">
        <f ca="1">$B$72/DB3*$AA17*#REF!</f>
        <v>#REF!</v>
      </c>
      <c r="DC17" s="34" t="e">
        <f t="shared" ref="DC17:DC24" si="831">$AA17*#REF!</f>
        <v>#REF!</v>
      </c>
      <c r="DD17" s="32" t="e">
        <f t="shared" ca="1" si="56"/>
        <v>#REF!</v>
      </c>
      <c r="DE17" s="32" t="e">
        <f t="shared" ref="DE17:DE24" si="832">$B17*#REF!</f>
        <v>#REF!</v>
      </c>
      <c r="DF17" s="32" t="e">
        <f ca="1">$B$72/DF3*$AA17*#REF!</f>
        <v>#REF!</v>
      </c>
      <c r="DG17" s="34" t="e">
        <f t="shared" ref="DG17:DG24" si="833">$AA17*#REF!</f>
        <v>#REF!</v>
      </c>
      <c r="DH17" s="32" t="e">
        <f t="shared" ca="1" si="57"/>
        <v>#REF!</v>
      </c>
      <c r="DI17" s="32" t="e">
        <f t="shared" ref="DI17:DI24" si="834">$B17*#REF!</f>
        <v>#REF!</v>
      </c>
      <c r="DJ17" s="32" t="e">
        <f ca="1">$B$72/DJ3*$AA17*#REF!</f>
        <v>#REF!</v>
      </c>
      <c r="DK17" s="32" t="e">
        <f t="shared" ref="DK17:DK24" si="835">$AA17*#REF!</f>
        <v>#REF!</v>
      </c>
      <c r="DL17" s="33" t="e">
        <f t="shared" ref="DL17:DM24" si="836">$B17*#REF!</f>
        <v>#REF!</v>
      </c>
      <c r="DM17" s="32" t="e">
        <f t="shared" ref="DM17:DN24" si="837">$B17*#REF!</f>
        <v>#REF!</v>
      </c>
      <c r="DN17" s="32" t="e">
        <f t="shared" ref="DN17:DW24" si="838">$B17*#REF!</f>
        <v>#REF!</v>
      </c>
      <c r="DO17" s="32" t="e">
        <f t="shared" ref="DO17:DX24" si="839">$B17*#REF!</f>
        <v>#REF!</v>
      </c>
      <c r="DP17" s="32" t="e">
        <f t="shared" ref="DP17:DY24" si="840">$B17*#REF!</f>
        <v>#REF!</v>
      </c>
      <c r="DQ17" s="32" t="e">
        <f t="shared" ref="DQ17:DZ24" si="841">$B17*#REF!</f>
        <v>#REF!</v>
      </c>
      <c r="DR17" s="32" t="e">
        <f t="shared" ref="DR17:EA24" si="842">$B17*#REF!</f>
        <v>#REF!</v>
      </c>
      <c r="DS17" s="32" t="e">
        <f t="shared" ref="DS17:EB24" si="843">$B17*#REF!</f>
        <v>#REF!</v>
      </c>
      <c r="DT17" s="32" t="e">
        <f t="shared" ref="DT17:EC24" si="844">$B17*#REF!</f>
        <v>#REF!</v>
      </c>
      <c r="DU17" s="32" t="e">
        <f t="shared" ref="DU17:ED24" si="845">$B17*#REF!</f>
        <v>#REF!</v>
      </c>
      <c r="DV17" s="32" t="e">
        <f t="shared" ref="DV17:EE24" si="846">$B17*#REF!</f>
        <v>#REF!</v>
      </c>
      <c r="DW17" s="34" t="e">
        <f t="shared" ref="DW17:EE24" si="847">$B17*#REF!</f>
        <v>#REF!</v>
      </c>
      <c r="DX17" s="32" t="e">
        <f t="shared" ca="1" si="163"/>
        <v>#REF!</v>
      </c>
      <c r="DY17" s="32" t="e">
        <f t="shared" ref="DY17:DY24" si="848">$B17*#REF!</f>
        <v>#REF!</v>
      </c>
      <c r="DZ17" s="32" t="e">
        <f ca="1">$B$72/DZ3*$B17*#REF!</f>
        <v>#REF!</v>
      </c>
      <c r="EA17" s="34" t="e">
        <f t="shared" ref="EA17:EA24" si="849">$B17*#REF!</f>
        <v>#REF!</v>
      </c>
      <c r="EB17" s="34" t="e">
        <f t="shared" ref="EB17:EB24" si="850">$AA17*#REF!</f>
        <v>#REF!</v>
      </c>
      <c r="EC17" s="32" t="e">
        <f t="shared" ref="EC17:ED24" si="851">$B17*#REF!</f>
        <v>#REF!</v>
      </c>
      <c r="ED17" s="34" t="e">
        <f t="shared" ref="ED17:EE24" si="852">$B17*#REF!</f>
        <v>#REF!</v>
      </c>
      <c r="EE17" s="31" t="e">
        <f t="shared" ref="EE17:EE24" si="853">$B17*#REF!</f>
        <v>#REF!</v>
      </c>
    </row>
    <row r="18" spans="1:135" x14ac:dyDescent="0.25">
      <c r="A18" s="5" t="s">
        <v>135</v>
      </c>
      <c r="B18" s="32" t="e">
        <f>([1]Inputs!$E$96*[1]Fuel_Specs!#REF!/B3)/[1]Fuel_Specs!#REF!*[1]Fuel_Specs!#REF!*[1]Fuel_Specs!#REF!/[1]Fuel_Specs!$B99+((1-[1]Inputs!$E$96)*[1]Fuel_Specs!#REF!/B3)/[1]Fuel_Specs!#REF!*[1]Fuel_Specs!#REF!*[1]Fuel_Specs!#REF!/[1]Fuel_Specs!$B99</f>
        <v>#REF!</v>
      </c>
      <c r="C18" s="32" t="e">
        <f>C4/[1]Fuel_Specs!#REF!*[1]Fuel_Specs!#REF!*[1]Fuel_Specs!#REF!/[1]Fuel_Specs!$B99</f>
        <v>#REF!</v>
      </c>
      <c r="D18" s="32" t="e">
        <f>(D4*$C$35*(1-$C$7)*[1]Fuel_Specs!#REF!/((1-$C$35)*(1-$C$7)*[1]Fuel_Specs!#REF!+$C$35*(1-$C$7)*[1]Fuel_Specs!#REF!+$C$7*[1]Fuel_Specs!#REF!)/[1]Fuel_Specs!#REF!*[1]Fuel_Specs!#REF!*[1]Fuel_Specs!#REF!+D4*(1-$C$35)*(1-$C$7)*[1]Fuel_Specs!#REF!/((1-$C$35)*(1-$C$7)*[1]Fuel_Specs!#REF!+$C$35*(1-$C$7)*[1]Fuel_Specs!#REF!+$C$7*[1]Fuel_Specs!#REF!)/[1]Fuel_Specs!#REF!*[1]Fuel_Specs!#REF!*[1]Fuel_Specs!#REF!+D4*$C$7*[1]Fuel_Specs!#REF!/((1-$C$35)*(1-$C$7)*[1]Fuel_Specs!#REF!+$C$35*(1-$C$7)*[1]Fuel_Specs!#REF!+$C$7*[1]Fuel_Specs!#REF!)/[1]Fuel_Specs!#REF!*[1]Fuel_Specs!#REF!*[1]Fuel_Specs!#REF!)/[1]Fuel_Specs!$B99</f>
        <v>#REF!</v>
      </c>
      <c r="E18" s="32" t="e">
        <f>E4/[1]Fuel_Specs!$B12*[1]Fuel_Specs!$E12*[1]Fuel_Specs!$H12/[1]Fuel_Specs!$B99</f>
        <v>#REF!</v>
      </c>
      <c r="F18" s="32" t="e">
        <f>F4/[1]Fuel_Specs!$B12*[1]Fuel_Specs!$E12*[1]Fuel_Specs!$H12/[1]Fuel_Specs!$B99</f>
        <v>#REF!</v>
      </c>
      <c r="G18" s="32" t="e">
        <f>G4/[1]Fuel_Specs!#REF!*[1]Fuel_Specs!#REF!*[1]Fuel_Specs!#REF!/[1]Fuel_Specs!$B99</f>
        <v>#REF!</v>
      </c>
      <c r="H18" s="32" t="e">
        <f>H4/[1]Fuel_Specs!#REF!*[1]Fuel_Specs!#REF!*[1]Fuel_Specs!#REF!/[1]Fuel_Specs!$B99</f>
        <v>#REF!</v>
      </c>
      <c r="I18" s="32" t="e">
        <f>(I4*$C$34*(1-$C$5)*[1]Fuel_Specs!#REF!/((1-$C$34)*(1-$C$5)*[1]Fuel_Specs!#REF!+$C$34*(1-$C$5)*[1]Fuel_Specs!#REF!+$C$5*[1]Fuel_Specs!#REF!)/[1]Fuel_Specs!#REF!*[1]Fuel_Specs!#REF!*[1]Fuel_Specs!#REF!+I4*(1-$C$34)*(1-$C$5)*[1]Fuel_Specs!#REF!/((1-$C$34)*(1-$C$5)*[1]Fuel_Specs!#REF!+$C$34*(1-$C$5)*[1]Fuel_Specs!#REF!+$C$5*[1]Fuel_Specs!#REF!)/[1]Fuel_Specs!#REF!*[1]Fuel_Specs!#REF!*[1]Fuel_Specs!#REF!+I4*$C$5*[1]Fuel_Specs!#REF!/((1-$C$34)*(1-$C$5)*[1]Fuel_Specs!#REF!+$C$34*(1-$C$5)*[1]Fuel_Specs!#REF!+$C$5*[1]Fuel_Specs!#REF!)/[1]Fuel_Specs!#REF!*[1]Fuel_Specs!#REF!*[1]Fuel_Specs!#REF!)/[1]Fuel_Specs!$B99</f>
        <v>#REF!</v>
      </c>
      <c r="J18" s="32" t="e">
        <f>(J4*$C$34*(1-$C$6)*[1]Fuel_Specs!#REF!/((1-$C$34)*(1-$C$6)*[1]Fuel_Specs!#REF!+$C$34*(1-$C$6)*[1]Fuel_Specs!#REF!+$C$6*[1]Fuel_Specs!#REF!)/[1]Fuel_Specs!#REF!*[1]Fuel_Specs!#REF!*[1]Fuel_Specs!#REF!+J4*(1-$C$34)*(1-$C$6)*[1]Fuel_Specs!#REF!/((1-$C$34)*(1-$C$6)*[1]Fuel_Specs!#REF!+$C$34*(1-$C$6)*[1]Fuel_Specs!#REF!+$C$6*[1]Fuel_Specs!#REF!)/[1]Fuel_Specs!#REF!*[1]Fuel_Specs!#REF!*[1]Fuel_Specs!#REF!+J4*$C$6*[1]Fuel_Specs!#REF!/((1-$C$34)*(1-$C$6)*[1]Fuel_Specs!#REF!+$C$34*(1-$C$6)*[1]Fuel_Specs!#REF!+$C$6*[1]Fuel_Specs!#REF!)/[1]Fuel_Specs!#REF!*[1]Fuel_Specs!#REF!*[1]Fuel_Specs!#REF!)/[1]Fuel_Specs!$B99</f>
        <v>#REF!</v>
      </c>
      <c r="K18" s="32" t="e">
        <f>(K4*$C$36*(1-$C$8)*[1]Fuel_Specs!#REF!/((1-$C$36)*(1-$C$8)*[1]Fuel_Specs!#REF!+$C$36*(1-$C$8)*[1]Fuel_Specs!#REF!+$C$8*[1]Fuel_Specs!#REF!)/[1]Fuel_Specs!#REF!*[1]Fuel_Specs!#REF!*[1]Fuel_Specs!#REF!+K4*(1-$C$36)*(1-$C$8)*[1]Fuel_Specs!#REF!/((1-$C$36)*(1-$C$8)*[1]Fuel_Specs!#REF!+$C$36*(1-$C$8)*[1]Fuel_Specs!#REF!+$C$8*[1]Fuel_Specs!#REF!)/[1]Fuel_Specs!#REF!*[1]Fuel_Specs!#REF!*[1]Fuel_Specs!#REF!+K4*$C$8*[1]Fuel_Specs!#REF!/((1-$C$36)*(1-$C$8)*[1]Fuel_Specs!#REF!+$C$36*(1-$C$8)*[1]Fuel_Specs!#REF!+$C$8*[1]Fuel_Specs!#REF!)/[1]Fuel_Specs!#REF!*[1]Fuel_Specs!#REF!*[1]Fuel_Specs!#REF!)/[1]Fuel_Specs!$B99</f>
        <v>#REF!</v>
      </c>
      <c r="L18" s="32" t="e">
        <f>(L4*$C$37*(1-$C$12)*[1]Fuel_Specs!#REF!/((1-$C$37)*(1-$C$12)*[1]Fuel_Specs!#REF!+$C$37*(1-$C$12)*[1]Fuel_Specs!#REF!+$C$12*[1]Fuel_Specs!$C$33)/[1]Fuel_Specs!#REF!*[1]Fuel_Specs!#REF!*[1]Fuel_Specs!#REF!+L4*(1-$C$37)*(1-$C$12)*[1]Fuel_Specs!#REF!/((1-$C$37)*(1-$C$12)*[1]Fuel_Specs!#REF!+$C$37*(1-$C$12)*[1]Fuel_Specs!#REF!+$C$12*[1]Fuel_Specs!$C$33)/[1]Fuel_Specs!#REF!*[1]Fuel_Specs!#REF!*[1]Fuel_Specs!#REF!+L4*$C$12*[1]Fuel_Specs!$C$33/((1-$C$37)*(1-$C$12)*[1]Fuel_Specs!#REF!+$C$37*(1-$C$12)*[1]Fuel_Specs!#REF!+$C$12*[1]Fuel_Specs!$C$33)/[1]Fuel_Specs!#REF!*[1]Fuel_Specs!$E$33*[1]Fuel_Specs!#REF!)/[1]Fuel_Specs!$B99</f>
        <v>#REF!</v>
      </c>
      <c r="M18" s="32" t="e">
        <f>(M4*$C$36*(1-$C$9)*[1]Fuel_Specs!#REF!/((1-$C$36)*(1-$C$9)*[1]Fuel_Specs!#REF!+$C$36*(1-$C$9)*[1]Fuel_Specs!#REF!+$C$9*[1]Fuel_Specs!#REF!)/[1]Fuel_Specs!#REF!*[1]Fuel_Specs!#REF!*[1]Fuel_Specs!#REF!+M4*(1-$C$36)*(1-$C$9)*[1]Fuel_Specs!#REF!/((1-$C$36)*(1-$C$9)*[1]Fuel_Specs!#REF!+$C$36*(1-$C$9)*[1]Fuel_Specs!#REF!+$C$9*[1]Fuel_Specs!#REF!)/[1]Fuel_Specs!#REF!*[1]Fuel_Specs!#REF!*[1]Fuel_Specs!#REF!+M4*$C$9*[1]Fuel_Specs!#REF!/((1-$C$36)*(1-$C$9)*[1]Fuel_Specs!#REF!+$C$36*(1-$C$9)*[1]Fuel_Specs!#REF!+$C$9*[1]Fuel_Specs!#REF!)/[1]Fuel_Specs!#REF!*[1]Fuel_Specs!#REF!*[1]Fuel_Specs!#REF!)/[1]Fuel_Specs!$B99</f>
        <v>#REF!</v>
      </c>
      <c r="N18" s="32">
        <v>0</v>
      </c>
      <c r="O18" s="32">
        <v>0</v>
      </c>
      <c r="P18" s="32" t="e">
        <f>(P4*$C$40*(1-$C$16)*[1]Fuel_Specs!#REF!/((1-$C$40)*(1-$C$16)*[1]Fuel_Specs!#REF!+$C$40*(1-$C$16)*[1]Fuel_Specs!#REF!+$C$16*[1]Fuel_Specs!#REF!)/[1]Fuel_Specs!#REF!*[1]Fuel_Specs!#REF!*[1]Fuel_Specs!#REF!+P4*(1-$C$40)*(1-$C$16)*[1]Fuel_Specs!#REF!/((1-$C$40)*(1-$C$16)*[1]Fuel_Specs!#REF!+$C$40*(1-$C$16)*[1]Fuel_Specs!#REF!+$C$16*[1]Fuel_Specs!#REF!)/[1]Fuel_Specs!#REF!*[1]Fuel_Specs!#REF!*[1]Fuel_Specs!#REF!+P4*$C$16*[1]Fuel_Specs!#REF!/((1-$C$40)*(1-$C$16)*[1]Fuel_Specs!#REF!+$C$40*(1-$C$16)*[1]Fuel_Specs!#REF!+$C$16*[1]Fuel_Specs!#REF!)/[1]Fuel_Specs!#REF!*[1]Fuel_Specs!#REF!*[1]Fuel_Specs!#REF!)/[1]Fuel_Specs!$B99</f>
        <v>#REF!</v>
      </c>
      <c r="Q18" s="32" t="e">
        <f>(Q4*$C$40*(1-$C$16)*[1]Fuel_Specs!#REF!/((1-$C$40)*(1-$C$16)*[1]Fuel_Specs!#REF!+$C$40*(1-$C$16)*[1]Fuel_Specs!#REF!+$C$16*[1]Fuel_Specs!#REF!)/[1]Fuel_Specs!#REF!*[1]Fuel_Specs!#REF!*[1]Fuel_Specs!#REF!+Q4*(1-$C$40)*(1-$C$16)*[1]Fuel_Specs!#REF!/((1-$C$40)*(1-$C$16)*[1]Fuel_Specs!#REF!+$C$40*(1-$C$16)*[1]Fuel_Specs!#REF!+$C$16*[1]Fuel_Specs!#REF!)/[1]Fuel_Specs!#REF!*[1]Fuel_Specs!#REF!*[1]Fuel_Specs!#REF!+Q4*$C$16*[1]Fuel_Specs!#REF!/((1-$C$40)*(1-$C$16)*[1]Fuel_Specs!#REF!+$C$40*(1-$C$16)*[1]Fuel_Specs!#REF!+$C$16*[1]Fuel_Specs!#REF!)/[1]Fuel_Specs!#REF!*[1]Fuel_Specs!#REF!*[1]Fuel_Specs!#REF!)/[1]Fuel_Specs!$B99</f>
        <v>#REF!</v>
      </c>
      <c r="R18" s="32" t="e">
        <f>(R4*$C$40*(1-$C$16)*[1]Fuel_Specs!#REF!/((1-$C$40)*(1-$C$16)*[1]Fuel_Specs!#REF!+$C$40*(1-$C$16)*[1]Fuel_Specs!#REF!+$C$16*[1]Fuel_Specs!#REF!)/[1]Fuel_Specs!#REF!*[1]Fuel_Specs!#REF!*[1]Fuel_Specs!#REF!+R4*(1-$C$40)*(1-$C$16)*[1]Fuel_Specs!#REF!/((1-$C$40)*(1-$C$16)*[1]Fuel_Specs!#REF!+$C$40*(1-$C$16)*[1]Fuel_Specs!#REF!+$C$16*[1]Fuel_Specs!#REF!)/[1]Fuel_Specs!#REF!*[1]Fuel_Specs!#REF!*[1]Fuel_Specs!#REF!+R4*$C$16*[1]Fuel_Specs!#REF!/((1-$C$40)*(1-$C$16)*[1]Fuel_Specs!#REF!+$C$40*(1-$C$16)*[1]Fuel_Specs!#REF!+$C$16*[1]Fuel_Specs!#REF!)/[1]Fuel_Specs!#REF!*[1]Fuel_Specs!#REF!*[1]Fuel_Specs!#REF!)/[1]Fuel_Specs!$B99</f>
        <v>#REF!</v>
      </c>
      <c r="S18" s="32" t="e">
        <f t="shared" si="183"/>
        <v>#REF!</v>
      </c>
      <c r="T18" s="32" t="e">
        <f t="shared" si="183"/>
        <v>#REF!</v>
      </c>
      <c r="U18" s="32" t="e">
        <f t="shared" si="183"/>
        <v>#REF!</v>
      </c>
      <c r="V18" s="33" t="e">
        <f>([1]Inputs!$E$96*[1]Fuel_Specs!#REF!/V3)/[1]Fuel_Specs!#REF!*[1]Fuel_Specs!#REF!*[1]Fuel_Specs!#REF!/[1]Fuel_Specs!$B99+((1-[1]Inputs!$E$96)*[1]Fuel_Specs!#REF!/V3)/[1]Fuel_Specs!#REF!*[1]Fuel_Specs!#REF!*[1]Fuel_Specs!#REF!/[1]Fuel_Specs!$B99</f>
        <v>#REF!</v>
      </c>
      <c r="W18" s="32" t="e">
        <f>$W4/[1]Fuel_Specs!#REF!*[1]Fuel_Specs!#REF!*[1]Fuel_Specs!#REF!/[1]Fuel_Specs!$B99</f>
        <v>#REF!</v>
      </c>
      <c r="X18" s="32" t="e">
        <f>(X4*$C$35*(1-$C$7)*[1]Fuel_Specs!#REF!/((1-$C$35)*(1-$C$7)*[1]Fuel_Specs!#REF!+$C$35*(1-$C$7)*[1]Fuel_Specs!#REF!+$C$7*[1]Fuel_Specs!#REF!)/[1]Fuel_Specs!#REF!*[1]Fuel_Specs!#REF!*[1]Fuel_Specs!#REF!+X4*(1-$C$35)*(1-$C$7)*[1]Fuel_Specs!#REF!/((1-$C$35)*(1-$C$7)*[1]Fuel_Specs!#REF!+$C$35*(1-$C$7)*[1]Fuel_Specs!#REF!+$C$7*[1]Fuel_Specs!#REF!)/[1]Fuel_Specs!#REF!*[1]Fuel_Specs!#REF!*[1]Fuel_Specs!#REF!+X4*$C$7*[1]Fuel_Specs!#REF!/((1-$C$35)*(1-$C$7)*[1]Fuel_Specs!#REF!+$C$35*(1-$C$7)*[1]Fuel_Specs!#REF!+$C$7*[1]Fuel_Specs!#REF!)/[1]Fuel_Specs!#REF!*[1]Fuel_Specs!#REF!*[1]Fuel_Specs!#REF!)/[1]Fuel_Specs!$B99</f>
        <v>#REF!</v>
      </c>
      <c r="Y18" s="32" t="e">
        <f>(Y4*$C$34*(1-$C$6)*[1]Fuel_Specs!#REF!/((1-$C$34)*(1-$C$6)*[1]Fuel_Specs!#REF!+$C$34*(1-$C$6)*[1]Fuel_Specs!#REF!+$C$6*[1]Fuel_Specs!#REF!)/[1]Fuel_Specs!#REF!*[1]Fuel_Specs!#REF!*[1]Fuel_Specs!#REF!+Y4*(1-$C$34)*(1-$C$6)*[1]Fuel_Specs!#REF!/((1-$C$34)*(1-$C$6)*[1]Fuel_Specs!#REF!+$C$34*(1-$C$6)*[1]Fuel_Specs!#REF!+$C$6*[1]Fuel_Specs!#REF!)/[1]Fuel_Specs!#REF!*[1]Fuel_Specs!#REF!*[1]Fuel_Specs!#REF!+Y4*$C$6*[1]Fuel_Specs!#REF!/((1-$C$34)*(1-$C$6)*[1]Fuel_Specs!#REF!+$C$34*(1-$C$6)*[1]Fuel_Specs!#REF!+$C$6*[1]Fuel_Specs!#REF!)/[1]Fuel_Specs!#REF!*[1]Fuel_Specs!#REF!*[1]Fuel_Specs!#REF!)/[1]Fuel_Specs!$B99</f>
        <v>#REF!</v>
      </c>
      <c r="Z18" s="34" t="e">
        <f>(Z4*$C$36*(1-$C$9)*[1]Fuel_Specs!#REF!/((1-$C$36)*(1-$C$9)*[1]Fuel_Specs!#REF!+$C$36*(1-$C$9)*[1]Fuel_Specs!#REF!+$C$9*[1]Fuel_Specs!#REF!)/[1]Fuel_Specs!#REF!*[1]Fuel_Specs!#REF!*[1]Fuel_Specs!#REF!+Z4*(1-$C$36)*(1-$C$9)*[1]Fuel_Specs!#REF!/((1-$C$36)*(1-$C$9)*[1]Fuel_Specs!#REF!+$C$36*(1-$C$9)*[1]Fuel_Specs!#REF!+$C$9*[1]Fuel_Specs!#REF!)/[1]Fuel_Specs!#REF!*[1]Fuel_Specs!#REF!*[1]Fuel_Specs!#REF!+Z4*$C$9*[1]Fuel_Specs!#REF!/((1-$C$36)*(1-$C$9)*[1]Fuel_Specs!#REF!+$C$36*(1-$C$9)*[1]Fuel_Specs!#REF!+$C$9*[1]Fuel_Specs!#REF!)/[1]Fuel_Specs!#REF!*[1]Fuel_Specs!#REF!*[1]Fuel_Specs!#REF!)/[1]Fuel_Specs!$B99</f>
        <v>#REF!</v>
      </c>
      <c r="AA18" s="32" t="e">
        <f>(AA4/([1]Inputs!$E$100*[1]Fuel_Specs!#REF!+(1-[1]Inputs!$E$100)*[1]Fuel_Specs!#REF!)*([1]Inputs!$E$100*[1]Fuel_Specs!#REF!*[1]Fuel_Specs!#REF!+(1-[1]Inputs!$E$100)*[1]Fuel_Specs!#REF!*[1]Fuel_Specs!#REF!))/[1]Fuel_Specs!$B99</f>
        <v>#REF!</v>
      </c>
      <c r="AB18" s="32" t="e">
        <f>AB4/[1]Fuel_Specs!#REF!*[1]Fuel_Specs!#REF!*[1]Fuel_Specs!#REF!/[1]Fuel_Specs!$B99</f>
        <v>#REF!</v>
      </c>
      <c r="AC18" s="32" t="e">
        <f>(AC4*$C$41*(1-$C$13)*[1]Fuel_Specs!#REF!/((1-$C$41)*(1-$C$13)*[1]Fuel_Specs!#REF!+$C$41*(1-$C$13)*[1]Fuel_Specs!#REF!+$C$13*[1]Fuel_Specs!#REF!)/[1]Fuel_Specs!#REF!*[1]Fuel_Specs!#REF!*[1]Fuel_Specs!#REF!+AC4*(1-$C$41)*(1-$C$13)*[1]Fuel_Specs!#REF!/((1-$C$41)*(1-$C$13)*[1]Fuel_Specs!#REF!+$C$41*(1-$C$13)*[1]Fuel_Specs!#REF!+$C$13*[1]Fuel_Specs!#REF!)/[1]Fuel_Specs!#REF!*[1]Fuel_Specs!#REF!*[1]Fuel_Specs!#REF!+AC4*$C$13*[1]Fuel_Specs!#REF!/((1-$C$41)*(1-$C$13)*[1]Fuel_Specs!#REF!+$C$41*(1-$C$13)*[1]Fuel_Specs!#REF!+$C$13*[1]Fuel_Specs!#REF!)/[1]Fuel_Specs!#REF!*[1]Fuel_Specs!#REF!*[1]Fuel_Specs!#REF!)/[1]Fuel_Specs!$B99</f>
        <v>#REF!</v>
      </c>
      <c r="AD18" s="32" t="e">
        <f>(AD4*$C$42*(1-$C$14)*[1]Fuel_Specs!#REF!/((1-$C$42)*(1-$C$14)*[1]Fuel_Specs!#REF!+$C$42*(1-$C$14)*[1]Fuel_Specs!#REF!+$C$14*[1]Fuel_Specs!#REF!)/[1]Fuel_Specs!#REF!*[1]Fuel_Specs!#REF!*[1]Fuel_Specs!#REF!+AD4*(1-$C$42)*(1-$C$14)*[1]Fuel_Specs!#REF!/((1-$C$42)*(1-$C$14)*[1]Fuel_Specs!#REF!+$C$42*(1-$C$14)*[1]Fuel_Specs!#REF!+$C$14*[1]Fuel_Specs!#REF!)/[1]Fuel_Specs!#REF!*[1]Fuel_Specs!#REF!*[1]Fuel_Specs!#REF!+AD4*$C$14*[1]Fuel_Specs!#REF!/((1-$C$42)*(1-$C$14)*[1]Fuel_Specs!#REF!+$C$42*(1-$C$14)*[1]Fuel_Specs!#REF!+$C$14*[1]Fuel_Specs!#REF!)/[1]Fuel_Specs!#REF!*[1]Fuel_Specs!#REF!*[1]Fuel_Specs!#REF!)/[1]Fuel_Specs!$B99</f>
        <v>#REF!</v>
      </c>
      <c r="AE18" s="32" t="e">
        <f>(AE4*$C$43*(1-$C$15)*[1]Fuel_Specs!#REF!/((1-$C$43)*(1-$C$15)*[1]Fuel_Specs!#REF!+$C$43*(1-$C$15)*[1]Fuel_Specs!#REF!+$C$15*IF([1]Inputs!$E$755=1,[1]Fuel_Specs!$B$42,IF([1]Inputs!$E$755=3,[1]Fuel_Specs!$B$44,[1]Fuel_Specs!$B$43)))/[1]Fuel_Specs!#REF!*[1]Fuel_Specs!#REF!*[1]Fuel_Specs!#REF!+AE4*(1-$C$43)*(1-$C$15)*[1]Fuel_Specs!#REF!/((1-$C$43)*(1-$C$15)*[1]Fuel_Specs!#REF!+$C$43*(1-$C$15)*[1]Fuel_Specs!#REF!+$C$15*IF([1]Inputs!$E$755=1,[1]Fuel_Specs!$B$42,IF([1]Inputs!$E$755=3,[1]Fuel_Specs!$B$44,[1]Fuel_Specs!$B$43)))/[1]Fuel_Specs!#REF!*[1]Fuel_Specs!#REF!*[1]Fuel_Specs!#REF!+AE4*$C$15*IF([1]Inputs!$E$755=1,[1]Fuel_Specs!$B$42,IF([1]Inputs!$E$755=3,[1]Fuel_Specs!$B$44,[1]Fuel_Specs!$B$43))/((1-$C$43)*(1-$C$15)*[1]Fuel_Specs!#REF!+$C$43*(1-$C$15)*[1]Fuel_Specs!#REF!+$C$15*IF([1]Inputs!$E$755=1,[1]Fuel_Specs!$B$42,IF([1]Inputs!$E$755=3,[1]Fuel_Specs!$B$44,[1]Fuel_Specs!$B$43)))/IF([1]Inputs!$E$755=1,[1]Fuel_Specs!$B$42,IF([1]Inputs!$E$755=3,[1]Fuel_Specs!$B$44,[1]Fuel_Specs!$B$43))*IF([1]Inputs!$E$755=1,[1]Fuel_Specs!$E$42,IF([1]Inputs!$E$755=3,[1]Fuel_Specs!$E$44,[1]Fuel_Specs!$E$43))*IF([1]Inputs!$E$755=1,[1]Fuel_Specs!#REF!,[1]Fuel_Specs!#REF!))/[1]Fuel_Specs!$B99</f>
        <v>#REF!</v>
      </c>
      <c r="AF18" s="32" t="e">
        <f>((((1-$C$44)*(1-$C$17-$C$18)*[1]Fuel_Specs!$E$20+$C$44*(1-$C$17-$C$18)*[1]Fuel_Specs!$E$23+$C$17*[1]Fuel_Specs!$E$32+$C$18*[1]Fuel_Specs!$E$35)/((1-$C$44)*(1-$C$17-$C$18)*[1]Fuel_Specs!$B$20+$C$44*(1-$C$17-$C$18)*[1]Fuel_Specs!$B$23+$C$17*[1]Fuel_Specs!$B$32+$C$18*[1]Fuel_Specs!$B$35)*((1-$C$44)*(1-$C$17-$C$18)*[1]Fuel_Specs!$H$20+$C$44*(1-$C$17-$C$18)*[1]Fuel_Specs!$H$23+$C$17*[1]Fuel_Specs!$H$32+$C$18*[1]Fuel_Specs!$H$35)*AF4))/[1]Fuel_Specs!$B$168</f>
        <v>#REF!</v>
      </c>
      <c r="AG18" s="32" t="e">
        <f>((((1-$C$44)*(1-$C$17-$C$18)*[1]Fuel_Specs!$E$20+$C$44*(1-$C$17-$C$18)*[1]Fuel_Specs!$E$23+$C$17*[1]Fuel_Specs!$E$32+$C$18*[1]Fuel_Specs!$E$35)/((1-$C$44)*(1-$C$17-$C$18)*[1]Fuel_Specs!$B$20+$C$44*(1-$C$17-$C$18)*[1]Fuel_Specs!$B$23+$C$17*[1]Fuel_Specs!$B$32+$C$18*[1]Fuel_Specs!$B$35)*((1-$C$44)*(1-$C$17-$C$18)*[1]Fuel_Specs!$H$20+$C$44*(1-$C$17-$C$18)*[1]Fuel_Specs!$H$23+$C$17*[1]Fuel_Specs!$H$32+$C$18*[1]Fuel_Specs!$H$35)*AG4))/[1]Fuel_Specs!$B$168</f>
        <v>#REF!</v>
      </c>
      <c r="AH18" s="33" t="e">
        <f>([1]Inputs!$E$96*[1]Fuel_Specs!#REF!/AH3)/[1]Fuel_Specs!#REF!*[1]Fuel_Specs!#REF!*[1]Fuel_Specs!#REF!/[1]Fuel_Specs!$B99+((1-[1]Inputs!$E$96)*[1]Fuel_Specs!#REF!/AH3)/[1]Fuel_Specs!#REF!*[1]Fuel_Specs!#REF!*[1]Fuel_Specs!#REF!/[1]Fuel_Specs!$B99</f>
        <v>#REF!</v>
      </c>
      <c r="AI18" s="32" t="e">
        <f>AI4/[1]Fuel_Specs!#REF!*[1]Fuel_Specs!#REF!*[1]Fuel_Specs!#REF!/[1]Fuel_Specs!$B99</f>
        <v>#REF!</v>
      </c>
      <c r="AJ18" s="32" t="e">
        <f>(AJ4*$C$40*(1-$C$16)*[1]Fuel_Specs!#REF!/((1-$C$40)*(1-$C$16)*[1]Fuel_Specs!#REF!+$C$40*(1-$C$16)*[1]Fuel_Specs!#REF!+$C$16*[1]Fuel_Specs!#REF!)/[1]Fuel_Specs!#REF!*[1]Fuel_Specs!#REF!*[1]Fuel_Specs!#REF!+AJ4*(1-$C$40)*(1-$C$16)*[1]Fuel_Specs!#REF!/((1-$C$40)*(1-$C$16)*[1]Fuel_Specs!#REF!+$C$40*(1-$C$16)*[1]Fuel_Specs!#REF!+$C$16*[1]Fuel_Specs!#REF!)/[1]Fuel_Specs!#REF!*[1]Fuel_Specs!#REF!*[1]Fuel_Specs!#REF!+AJ4*$C$16*[1]Fuel_Specs!#REF!/((1-$C$40)*(1-$C$16)*[1]Fuel_Specs!#REF!+$C$40*(1-$C$16)*[1]Fuel_Specs!#REF!+$C$16*[1]Fuel_Specs!#REF!)/[1]Fuel_Specs!#REF!*[1]Fuel_Specs!#REF!*[1]Fuel_Specs!#REF!)/[1]Fuel_Specs!$B99</f>
        <v>#REF!</v>
      </c>
      <c r="AK18" s="32" t="e">
        <f>(AK4*$C$35*(1-$C$7)*[1]Fuel_Specs!#REF!/((1-$C$35)*(1-$C$7)*[1]Fuel_Specs!#REF!+$C$35*(1-$C$7)*[1]Fuel_Specs!#REF!+$C$7*[1]Fuel_Specs!#REF!)/[1]Fuel_Specs!#REF!*[1]Fuel_Specs!#REF!*[1]Fuel_Specs!#REF!+AK4*(1-$C$35)*(1-$C$7)*[1]Fuel_Specs!#REF!/((1-$C$35)*(1-$C$7)*[1]Fuel_Specs!#REF!+$C$35*(1-$C$7)*[1]Fuel_Specs!#REF!+$C$7*[1]Fuel_Specs!#REF!)/[1]Fuel_Specs!#REF!*[1]Fuel_Specs!#REF!*[1]Fuel_Specs!#REF!+AK4*$C$7*[1]Fuel_Specs!#REF!/((1-$C$35)*(1-$C$7)*[1]Fuel_Specs!#REF!+$C$35*(1-$C$7)*[1]Fuel_Specs!#REF!+$C$7*[1]Fuel_Specs!#REF!)/[1]Fuel_Specs!#REF!*[1]Fuel_Specs!#REF!*[1]Fuel_Specs!#REF!)/[1]Fuel_Specs!$B99</f>
        <v>#REF!</v>
      </c>
      <c r="AL18" s="32" t="e">
        <f>AL4/[1]Fuel_Specs!$B12*[1]Fuel_Specs!$E12*[1]Fuel_Specs!$H12/[1]Fuel_Specs!$B99</f>
        <v>#REF!</v>
      </c>
      <c r="AM18" s="32" t="e">
        <f>AM4/[1]Fuel_Specs!#REF!*[1]Fuel_Specs!#REF!*[1]Fuel_Specs!#REF!/[1]Fuel_Specs!$B99</f>
        <v>#REF!</v>
      </c>
      <c r="AN18" s="32" t="e">
        <f>AN4/[1]Fuel_Specs!#REF!*[1]Fuel_Specs!#REF!*[1]Fuel_Specs!#REF!/[1]Fuel_Specs!$B99</f>
        <v>#REF!</v>
      </c>
      <c r="AO18" s="32" t="e">
        <f>(AO4*$C$34*(1-$C$6)*[1]Fuel_Specs!#REF!/((1-$C$34)*(1-$C$6)*[1]Fuel_Specs!#REF!+$C$34*(1-$C$6)*[1]Fuel_Specs!#REF!+$C$6*[1]Fuel_Specs!#REF!)/[1]Fuel_Specs!#REF!*[1]Fuel_Specs!#REF!*[1]Fuel_Specs!#REF!+AO4*(1-$C$34)*(1-$C$6)*[1]Fuel_Specs!#REF!/((1-$C$34)*(1-$C$6)*[1]Fuel_Specs!#REF!+$C$34*(1-$C$6)*[1]Fuel_Specs!#REF!+$C$6*[1]Fuel_Specs!#REF!)/[1]Fuel_Specs!#REF!*[1]Fuel_Specs!#REF!*[1]Fuel_Specs!#REF!+AO4*$C$6*[1]Fuel_Specs!#REF!/((1-$C$34)*(1-$C$6)*[1]Fuel_Specs!#REF!+$C$34*(1-$C$6)*[1]Fuel_Specs!#REF!+$C$6*[1]Fuel_Specs!#REF!)/[1]Fuel_Specs!#REF!*[1]Fuel_Specs!#REF!*[1]Fuel_Specs!#REF!)/[1]Fuel_Specs!$B99</f>
        <v>#REF!</v>
      </c>
      <c r="AP18" s="32" t="e">
        <f>(AP4*$C$36*(1-$C$9)*[1]Fuel_Specs!#REF!/((1-$C$36)*(1-$C$9)*[1]Fuel_Specs!#REF!+$C$36*(1-$C$9)*[1]Fuel_Specs!#REF!+$C$9*[1]Fuel_Specs!#REF!)/[1]Fuel_Specs!#REF!*[1]Fuel_Specs!#REF!*[1]Fuel_Specs!#REF!+AP4*(1-$C$36)*(1-$C$9)*[1]Fuel_Specs!#REF!/((1-$C$36)*(1-$C$9)*[1]Fuel_Specs!#REF!+$C$36*(1-$C$9)*[1]Fuel_Specs!#REF!+$C$9*[1]Fuel_Specs!#REF!)/[1]Fuel_Specs!#REF!*[1]Fuel_Specs!#REF!*[1]Fuel_Specs!#REF!+AP4*$C$9*[1]Fuel_Specs!#REF!/((1-$C$36)*(1-$C$9)*[1]Fuel_Specs!#REF!+$C$36*(1-$C$9)*[1]Fuel_Specs!#REF!+$C$9*[1]Fuel_Specs!#REF!)/[1]Fuel_Specs!#REF!*[1]Fuel_Specs!#REF!*[1]Fuel_Specs!#REF!)/[1]Fuel_Specs!$B99</f>
        <v>#REF!</v>
      </c>
      <c r="AQ18" s="32">
        <v>0</v>
      </c>
      <c r="AR18" s="34">
        <v>0</v>
      </c>
      <c r="AS18" s="32" t="e">
        <f t="shared" ca="1" si="99"/>
        <v>#REF!</v>
      </c>
      <c r="AT18" s="32">
        <v>0</v>
      </c>
      <c r="AU18" s="32" t="e">
        <f ca="1">([1]Inputs!$E$96*[1]Fuel_Specs!#REF!/AU3)/[1]Fuel_Specs!#REF!*[1]Fuel_Specs!#REF!*[1]Fuel_Specs!#REF!/[1]Fuel_Specs!$B99+((1-[1]Inputs!$E$96)*[1]Fuel_Specs!#REF!/AU3)/[1]Fuel_Specs!#REF!*[1]Fuel_Specs!#REF!*[1]Fuel_Specs!#REF!/[1]Fuel_Specs!$B99</f>
        <v>#REF!</v>
      </c>
      <c r="AV18" s="32" t="e">
        <f>([1]Inputs!$E$96*[1]Fuel_Specs!#REF!/AV3)/[1]Fuel_Specs!#REF!*[1]Fuel_Specs!#REF!*[1]Fuel_Specs!#REF!/[1]Fuel_Specs!$B99+((1-[1]Inputs!$E$96)*[1]Fuel_Specs!#REF!/AV3)/[1]Fuel_Specs!#REF!*[1]Fuel_Specs!#REF!*[1]Fuel_Specs!#REF!/[1]Fuel_Specs!$B99</f>
        <v>#REF!</v>
      </c>
      <c r="AW18" s="33" t="e">
        <f t="shared" ca="1" si="103"/>
        <v>#REF!</v>
      </c>
      <c r="AX18" s="32">
        <v>0</v>
      </c>
      <c r="AY18" s="32" t="e">
        <f ca="1">AY4/[1]Fuel_Specs!#REF!*[1]Fuel_Specs!#REF!*[1]Fuel_Specs!#REF!/[1]Fuel_Specs!$B99</f>
        <v>#REF!</v>
      </c>
      <c r="AZ18" s="34" t="e">
        <f>AZ4/[1]Fuel_Specs!#REF!*[1]Fuel_Specs!#REF!*[1]Fuel_Specs!#REF!/[1]Fuel_Specs!$B99</f>
        <v>#REF!</v>
      </c>
      <c r="BA18" s="33" t="e">
        <f t="shared" ca="1" si="58"/>
        <v>#REF!</v>
      </c>
      <c r="BB18" s="32">
        <v>0</v>
      </c>
      <c r="BC18" s="32" t="e">
        <f ca="1">(BC4*$C$40*(1-$C$16)*[1]Fuel_Specs!#REF!/((1-$C$40)*(1-$C$16)*[1]Fuel_Specs!#REF!+$C$40*(1-$C$16)*[1]Fuel_Specs!#REF!+$C$16*[1]Fuel_Specs!#REF!)/[1]Fuel_Specs!#REF!*[1]Fuel_Specs!#REF!*[1]Fuel_Specs!#REF!+BC4*(1-$C$40)*(1-$C$16)*[1]Fuel_Specs!#REF!/((1-$C$40)*(1-$C$16)*[1]Fuel_Specs!#REF!+$C$40*(1-$C$16)*[1]Fuel_Specs!#REF!+$C$16*[1]Fuel_Specs!#REF!)/[1]Fuel_Specs!#REF!*[1]Fuel_Specs!#REF!*[1]Fuel_Specs!#REF!+BC4*$C$16*[1]Fuel_Specs!#REF!/((1-$C$40)*(1-$C$16)*[1]Fuel_Specs!#REF!+$C$40*(1-$C$16)*[1]Fuel_Specs!#REF!+$C$16*[1]Fuel_Specs!#REF!)/[1]Fuel_Specs!#REF!*[1]Fuel_Specs!#REF!*[1]Fuel_Specs!#REF!)/[1]Fuel_Specs!$B99</f>
        <v>#REF!</v>
      </c>
      <c r="BD18" s="34" t="e">
        <f>(BD4*$C$40*(1-$C$16)*[1]Fuel_Specs!#REF!/((1-$C$40)*(1-$C$16)*[1]Fuel_Specs!#REF!+$C$40*(1-$C$16)*[1]Fuel_Specs!#REF!+$C$16*[1]Fuel_Specs!#REF!)/[1]Fuel_Specs!#REF!*[1]Fuel_Specs!#REF!*[1]Fuel_Specs!#REF!+BD4*(1-$C$40)*(1-$C$16)*[1]Fuel_Specs!#REF!/((1-$C$40)*(1-$C$16)*[1]Fuel_Specs!#REF!+$C$40*(1-$C$16)*[1]Fuel_Specs!#REF!+$C$16*[1]Fuel_Specs!#REF!)/[1]Fuel_Specs!#REF!*[1]Fuel_Specs!#REF!*[1]Fuel_Specs!#REF!+BD4*$C$16*[1]Fuel_Specs!#REF!/((1-$C$40)*(1-$C$16)*[1]Fuel_Specs!#REF!+$C$40*(1-$C$16)*[1]Fuel_Specs!#REF!+$C$16*[1]Fuel_Specs!#REF!)/[1]Fuel_Specs!#REF!*[1]Fuel_Specs!#REF!*[1]Fuel_Specs!#REF!)/[1]Fuel_Specs!$B99</f>
        <v>#REF!</v>
      </c>
      <c r="BE18" s="32" t="e">
        <f t="shared" ca="1" si="110"/>
        <v>#REF!</v>
      </c>
      <c r="BF18" s="32">
        <v>0</v>
      </c>
      <c r="BG18" s="32" t="e">
        <f ca="1">(BG4*$C$35*(1-$C$7)*[1]Fuel_Specs!#REF!/((1-$C$35)*(1-$C$7)*[1]Fuel_Specs!#REF!+$C$35*(1-$C$7)*[1]Fuel_Specs!#REF!+$C$7*[1]Fuel_Specs!#REF!)/[1]Fuel_Specs!#REF!*[1]Fuel_Specs!#REF!*[1]Fuel_Specs!#REF!+BG4*(1-$C$35)*(1-$C$7)*[1]Fuel_Specs!#REF!/((1-$C$35)*(1-$C$7)*[1]Fuel_Specs!#REF!+$C$35*(1-$C$7)*[1]Fuel_Specs!#REF!+$C$7*[1]Fuel_Specs!#REF!)/[1]Fuel_Specs!#REF!*[1]Fuel_Specs!#REF!*[1]Fuel_Specs!#REF!+BG4*$C$7*[1]Fuel_Specs!#REF!/((1-$C$35)*(1-$C$7)*[1]Fuel_Specs!#REF!+$C$35*(1-$C$7)*[1]Fuel_Specs!#REF!+$C$7*[1]Fuel_Specs!#REF!)/[1]Fuel_Specs!#REF!*[1]Fuel_Specs!#REF!*[1]Fuel_Specs!#REF!)/[1]Fuel_Specs!$B99</f>
        <v>#REF!</v>
      </c>
      <c r="BH18" s="32" t="e">
        <f>(BH4*$C$35*(1-$C$7)*[1]Fuel_Specs!#REF!/((1-$C$35)*(1-$C$7)*[1]Fuel_Specs!#REF!+$C$35*(1-$C$7)*[1]Fuel_Specs!#REF!+$C$7*[1]Fuel_Specs!#REF!)/[1]Fuel_Specs!#REF!*[1]Fuel_Specs!#REF!*[1]Fuel_Specs!#REF!+BH4*(1-$C$35)*(1-$C$7)*[1]Fuel_Specs!#REF!/((1-$C$35)*(1-$C$7)*[1]Fuel_Specs!#REF!+$C$35*(1-$C$7)*[1]Fuel_Specs!#REF!+$C$7*[1]Fuel_Specs!#REF!)/[1]Fuel_Specs!#REF!*[1]Fuel_Specs!#REF!*[1]Fuel_Specs!#REF!+BH4*$C$7*[1]Fuel_Specs!#REF!/((1-$C$35)*(1-$C$7)*[1]Fuel_Specs!#REF!+$C$35*(1-$C$7)*[1]Fuel_Specs!#REF!+$C$7*[1]Fuel_Specs!#REF!)/[1]Fuel_Specs!#REF!*[1]Fuel_Specs!#REF!*[1]Fuel_Specs!#REF!)/[1]Fuel_Specs!$B99</f>
        <v>#REF!</v>
      </c>
      <c r="BI18" s="33">
        <f t="shared" ca="1" si="113"/>
        <v>3.1276065157065639E-12</v>
      </c>
      <c r="BJ18" s="32">
        <v>0</v>
      </c>
      <c r="BK18" s="32">
        <f ca="1">BK4/[1]Fuel_Specs!$B12*[1]Fuel_Specs!$E12*[1]Fuel_Specs!$H12/[1]Fuel_Specs!$B99</f>
        <v>3.1276065157065639E-12</v>
      </c>
      <c r="BL18" s="34" t="e">
        <f>BL4/[1]Fuel_Specs!$B12*[1]Fuel_Specs!$E12*[1]Fuel_Specs!$H12/[1]Fuel_Specs!$B99</f>
        <v>#REF!</v>
      </c>
      <c r="BM18" s="32" t="e">
        <f t="shared" ca="1" si="116"/>
        <v>#REF!</v>
      </c>
      <c r="BN18" s="32">
        <v>0</v>
      </c>
      <c r="BO18" s="32" t="e">
        <f ca="1">BO4/[1]Fuel_Specs!#REF!*[1]Fuel_Specs!#REF!*[1]Fuel_Specs!#REF!/[1]Fuel_Specs!$B99</f>
        <v>#REF!</v>
      </c>
      <c r="BP18" s="32" t="e">
        <f>BP4/[1]Fuel_Specs!#REF!*[1]Fuel_Specs!#REF!*[1]Fuel_Specs!#REF!/[1]Fuel_Specs!$B99</f>
        <v>#REF!</v>
      </c>
      <c r="BQ18" s="33" t="e">
        <f t="shared" ca="1" si="119"/>
        <v>#REF!</v>
      </c>
      <c r="BR18" s="32">
        <v>0</v>
      </c>
      <c r="BS18" s="32" t="e">
        <f ca="1">BS4/[1]Fuel_Specs!#REF!*[1]Fuel_Specs!#REF!*[1]Fuel_Specs!#REF!/[1]Fuel_Specs!$B99</f>
        <v>#REF!</v>
      </c>
      <c r="BT18" s="34" t="e">
        <f>BT4/[1]Fuel_Specs!#REF!*[1]Fuel_Specs!#REF!*[1]Fuel_Specs!#REF!/[1]Fuel_Specs!$B99</f>
        <v>#REF!</v>
      </c>
      <c r="BU18" s="32" t="e">
        <f t="shared" ca="1" si="122"/>
        <v>#REF!</v>
      </c>
      <c r="BV18" s="32">
        <v>0</v>
      </c>
      <c r="BW18" s="32" t="e">
        <f ca="1">(BW4*$C$34*(1-$C$6)*[1]Fuel_Specs!#REF!/((1-$C$34)*(1-$C$6)*[1]Fuel_Specs!#REF!+$C$34*(1-$C$6)*[1]Fuel_Specs!#REF!+$C$6*[1]Fuel_Specs!#REF!)/[1]Fuel_Specs!#REF!*[1]Fuel_Specs!#REF!*[1]Fuel_Specs!#REF!+BW4*(1-$C$34)*(1-$C$6)*[1]Fuel_Specs!#REF!/((1-$C$34)*(1-$C$6)*[1]Fuel_Specs!#REF!+$C$34*(1-$C$6)*[1]Fuel_Specs!#REF!+$C$6*[1]Fuel_Specs!#REF!)/[1]Fuel_Specs!#REF!*[1]Fuel_Specs!#REF!*[1]Fuel_Specs!#REF!+BW4*$C$6*[1]Fuel_Specs!#REF!/((1-$C$34)*(1-$C$6)*[1]Fuel_Specs!#REF!+$C$34*(1-$C$6)*[1]Fuel_Specs!#REF!+$C$6*[1]Fuel_Specs!#REF!)/[1]Fuel_Specs!#REF!*[1]Fuel_Specs!#REF!*[1]Fuel_Specs!#REF!)/[1]Fuel_Specs!$B99</f>
        <v>#REF!</v>
      </c>
      <c r="BX18" s="32" t="e">
        <f>(BX4*$C$34*(1-$C$6)*[1]Fuel_Specs!#REF!/((1-$C$34)*(1-$C$6)*[1]Fuel_Specs!#REF!+$C$34*(1-$C$6)*[1]Fuel_Specs!#REF!+$C$6*[1]Fuel_Specs!#REF!)/[1]Fuel_Specs!#REF!*[1]Fuel_Specs!#REF!*[1]Fuel_Specs!#REF!+BX4*(1-$C$34)*(1-$C$6)*[1]Fuel_Specs!#REF!/((1-$C$34)*(1-$C$6)*[1]Fuel_Specs!#REF!+$C$34*(1-$C$6)*[1]Fuel_Specs!#REF!+$C$6*[1]Fuel_Specs!#REF!)/[1]Fuel_Specs!#REF!*[1]Fuel_Specs!#REF!*[1]Fuel_Specs!#REF!+BX4*$C$6*[1]Fuel_Specs!#REF!/((1-$C$34)*(1-$C$6)*[1]Fuel_Specs!#REF!+$C$34*(1-$C$6)*[1]Fuel_Specs!#REF!+$C$6*[1]Fuel_Specs!#REF!)/[1]Fuel_Specs!#REF!*[1]Fuel_Specs!#REF!*[1]Fuel_Specs!#REF!)/[1]Fuel_Specs!$B99</f>
        <v>#REF!</v>
      </c>
      <c r="BY18" s="33" t="e">
        <f t="shared" ca="1" si="125"/>
        <v>#REF!</v>
      </c>
      <c r="BZ18" s="32">
        <v>0</v>
      </c>
      <c r="CA18" s="32" t="e">
        <f ca="1">(CA4*$C$36*(1-$C$9)*[1]Fuel_Specs!#REF!/((1-$C$36)*(1-$C$9)*[1]Fuel_Specs!#REF!+$C$36*(1-$C$9)*[1]Fuel_Specs!#REF!+$C$9*[1]Fuel_Specs!#REF!)/[1]Fuel_Specs!#REF!*[1]Fuel_Specs!#REF!*[1]Fuel_Specs!#REF!+CA4*(1-$C$36)*(1-$C$9)*[1]Fuel_Specs!#REF!/((1-$C$36)*(1-$C$9)*[1]Fuel_Specs!#REF!+$C$36*(1-$C$9)*[1]Fuel_Specs!#REF!+$C$9*[1]Fuel_Specs!#REF!)/[1]Fuel_Specs!#REF!*[1]Fuel_Specs!#REF!*[1]Fuel_Specs!#REF!+CA4*$C$9*[1]Fuel_Specs!#REF!/((1-$C$36)*(1-$C$9)*[1]Fuel_Specs!#REF!+$C$36*(1-$C$9)*[1]Fuel_Specs!#REF!+$C$9*[1]Fuel_Specs!#REF!)/[1]Fuel_Specs!#REF!*[1]Fuel_Specs!#REF!*[1]Fuel_Specs!#REF!)/[1]Fuel_Specs!$B99</f>
        <v>#REF!</v>
      </c>
      <c r="CB18" s="34" t="e">
        <f>(CB4*$C$36*(1-$C$9)*[1]Fuel_Specs!#REF!/((1-$C$36)*(1-$C$9)*[1]Fuel_Specs!#REF!+$C$36*(1-$C$9)*[1]Fuel_Specs!#REF!+$C$9*[1]Fuel_Specs!#REF!)/[1]Fuel_Specs!#REF!*[1]Fuel_Specs!#REF!*[1]Fuel_Specs!#REF!+CB4*(1-$C$36)*(1-$C$9)*[1]Fuel_Specs!#REF!/((1-$C$36)*(1-$C$9)*[1]Fuel_Specs!#REF!+$C$36*(1-$C$9)*[1]Fuel_Specs!#REF!+$C$9*[1]Fuel_Specs!#REF!)/[1]Fuel_Specs!#REF!*[1]Fuel_Specs!#REF!*[1]Fuel_Specs!#REF!+CB4*$C$9*[1]Fuel_Specs!#REF!/((1-$C$36)*(1-$C$9)*[1]Fuel_Specs!#REF!+$C$36*(1-$C$9)*[1]Fuel_Specs!#REF!+$C$9*[1]Fuel_Specs!#REF!)/[1]Fuel_Specs!#REF!*[1]Fuel_Specs!#REF!*[1]Fuel_Specs!#REF!)/[1]Fuel_Specs!$B99</f>
        <v>#REF!</v>
      </c>
      <c r="CC18" s="32">
        <f t="shared" si="128"/>
        <v>0</v>
      </c>
      <c r="CD18" s="32">
        <v>0</v>
      </c>
      <c r="CE18" s="32">
        <v>0</v>
      </c>
      <c r="CF18" s="32">
        <v>0</v>
      </c>
      <c r="CG18" s="32">
        <v>0</v>
      </c>
      <c r="CH18" s="33" t="e">
        <f>(CH4/([1]Inputs!$E$100*[1]Fuel_Specs!#REF!+(1-[1]Inputs!$E$100)*[1]Fuel_Specs!#REF!)*([1]Inputs!$E$100*[1]Fuel_Specs!#REF!*[1]Fuel_Specs!#REF!+(1-[1]Inputs!$E$100)*[1]Fuel_Specs!#REF!*[1]Fuel_Specs!#REF!))/[1]Fuel_Specs!$B99</f>
        <v>#REF!</v>
      </c>
      <c r="CI18" s="32" t="e">
        <f>CI4/[1]Fuel_Specs!#REF!*[1]Fuel_Specs!#REF!*[1]Fuel_Specs!#REF!/[1]Fuel_Specs!$B99</f>
        <v>#REF!</v>
      </c>
      <c r="CJ18" s="32" t="e">
        <f>(CJ4*$C$41*(1-$C$13)*[1]Fuel_Specs!#REF!/((1-$C$41)*(1-$C$13)*[1]Fuel_Specs!#REF!+$C$41*(1-$C$13)*[1]Fuel_Specs!#REF!+$C$13*[1]Fuel_Specs!#REF!)/[1]Fuel_Specs!#REF!*[1]Fuel_Specs!#REF!*[1]Fuel_Specs!#REF!+CJ4*(1-$C$41)*(1-$C$13)*[1]Fuel_Specs!#REF!/((1-$C$41)*(1-$C$13)*[1]Fuel_Specs!#REF!+$C$41*(1-$C$13)*[1]Fuel_Specs!#REF!+$C$13*[1]Fuel_Specs!#REF!)/[1]Fuel_Specs!#REF!*[1]Fuel_Specs!#REF!*[1]Fuel_Specs!#REF!+CJ4*$C$13*[1]Fuel_Specs!#REF!/((1-$C$41)*(1-$C$13)*[1]Fuel_Specs!#REF!+$C$41*(1-$C$13)*[1]Fuel_Specs!#REF!+$C$13*[1]Fuel_Specs!#REF!)/[1]Fuel_Specs!#REF!*[1]Fuel_Specs!#REF!*[1]Fuel_Specs!#REF!)/[1]Fuel_Specs!$B99</f>
        <v>#REF!</v>
      </c>
      <c r="CK18" s="32" t="e">
        <f>(CK4*$C$42*(1-$C$14)*[1]Fuel_Specs!$B$23/((1-$C$42)*(1-$C$14)*[1]Fuel_Specs!$B$20+$C$42*(1-$C$14)*[1]Fuel_Specs!$B$23+$C$14*[1]Fuel_Specs!$B$40)/[1]Fuel_Specs!$B$23*[1]Fuel_Specs!$E$23*[1]Fuel_Specs!$H$23+CK4*(1-$C$42)*(1-$C$14)*[1]Fuel_Specs!$B$20/((1-$C$42)*(1-$C$14)*[1]Fuel_Specs!$B$20+$C$42*(1-$C$14)*[1]Fuel_Specs!$B$23+$C$14*[1]Fuel_Specs!$B$40)/[1]Fuel_Specs!$B$20*[1]Fuel_Specs!$E$20*[1]Fuel_Specs!$H$20+CK4*$C$14*[1]Fuel_Specs!$B$40/((1-$C$42)*(1-$C$14)*[1]Fuel_Specs!$B$20+$C$42*(1-$C$14)*[1]Fuel_Specs!$B$23+$C$14*[1]Fuel_Specs!$B$40)/[1]Fuel_Specs!$B$40*[1]Fuel_Specs!$E$40*[1]Fuel_Specs!$H$40)/[1]Fuel_Specs!$B$168</f>
        <v>#REF!</v>
      </c>
      <c r="CL18" s="32" t="e">
        <f>(CL4*$C$43*(1-$C$15)*[1]Fuel_Specs!#REF!/((1-$C$43)*(1-$C$15)*[1]Fuel_Specs!#REF!+$C$43*(1-$C$15)*[1]Fuel_Specs!#REF!+$C$15*IF([1]Inputs!$E$755=1,[1]Fuel_Specs!#REF!,[1]Fuel_Specs!#REF!))/[1]Fuel_Specs!#REF!*[1]Fuel_Specs!#REF!*[1]Fuel_Specs!#REF!+CL4*(1-$C$43)*(1-$C$15)*[1]Fuel_Specs!#REF!/((1-$C$43)*(1-$C$15)*[1]Fuel_Specs!#REF!+$C$43*(1-$C$15)*[1]Fuel_Specs!#REF!+$C$15*IF([1]Inputs!$E$755=1,[1]Fuel_Specs!#REF!,[1]Fuel_Specs!#REF!))/[1]Fuel_Specs!#REF!*[1]Fuel_Specs!#REF!*[1]Fuel_Specs!#REF!+CL4*$C$15*IF([1]Inputs!$E$755=1,[1]Fuel_Specs!#REF!,[1]Fuel_Specs!#REF!)/((1-$C$43)*(1-$C$15)*[1]Fuel_Specs!#REF!+$C$43*(1-$C$15)*[1]Fuel_Specs!#REF!+$C$15*IF([1]Inputs!$E$755=1,[1]Fuel_Specs!#REF!,[1]Fuel_Specs!#REF!))/IF([1]Inputs!$E$755=1,[1]Fuel_Specs!#REF!,[1]Fuel_Specs!#REF!)*IF([1]Inputs!$E$755=1,[1]Fuel_Specs!#REF!,[1]Fuel_Specs!#REF!)*IF([1]Inputs!$E$755=1,[1]Fuel_Specs!#REF!,[1]Fuel_Specs!#REF!))/[1]Fuel_Specs!$B99</f>
        <v>#REF!</v>
      </c>
      <c r="CM18" s="34" t="e">
        <f>((((1-$C$44)*(1-$C$17-$C$18)*[1]Fuel_Specs!$E$20+$C$44*(1-$C$17-$C$18)*[1]Fuel_Specs!$E$23+$C$17*[1]Fuel_Specs!$E$32+$C$18*[1]Fuel_Specs!$E$35)/((1-$C$44)*(1-$C$17-$C$18)*[1]Fuel_Specs!$B$20+$C$44*(1-$C$17-$C$18)*[1]Fuel_Specs!$B$23+$C$17*[1]Fuel_Specs!$B$32+$C$18*[1]Fuel_Specs!$B$35)*((1-$C$44)*(1-$C$17-$C$18)*[1]Fuel_Specs!$H$20+$C$44*(1-$C$17-$C$18)*[1]Fuel_Specs!$H$23+$C$17*[1]Fuel_Specs!$H$32+$C$18*[1]Fuel_Specs!$H$35)*CM4))/[1]Fuel_Specs!$B$168</f>
        <v>#REF!</v>
      </c>
      <c r="CN18" s="32" t="e">
        <f t="shared" ca="1" si="138"/>
        <v>#REF!</v>
      </c>
      <c r="CO18" s="32">
        <v>0</v>
      </c>
      <c r="CP18" s="32" t="e">
        <f ca="1">(CP4/([1]Inputs!$E$100*[1]Fuel_Specs!#REF!+(1-[1]Inputs!$E$100)*[1]Fuel_Specs!#REF!)*([1]Inputs!$E$100*[1]Fuel_Specs!#REF!*[1]Fuel_Specs!#REF!+(1-[1]Inputs!$E$100)*[1]Fuel_Specs!#REF!*[1]Fuel_Specs!#REF!))/[1]Fuel_Specs!$B99</f>
        <v>#REF!</v>
      </c>
      <c r="CQ18" s="32" t="e">
        <f>(CQ4/([1]Inputs!$E$100*[1]Fuel_Specs!#REF!+(1-[1]Inputs!$E$100)*[1]Fuel_Specs!#REF!)*([1]Inputs!$E$100*[1]Fuel_Specs!#REF!*[1]Fuel_Specs!#REF!+(1-[1]Inputs!$E$100)*[1]Fuel_Specs!#REF!*[1]Fuel_Specs!#REF!))/[1]Fuel_Specs!$B99</f>
        <v>#REF!</v>
      </c>
      <c r="CR18" s="33" t="e">
        <f t="shared" ca="1" si="53"/>
        <v>#REF!</v>
      </c>
      <c r="CS18" s="32">
        <v>0</v>
      </c>
      <c r="CT18" s="32" t="e">
        <f ca="1">CT4/[1]Fuel_Specs!#REF!*[1]Fuel_Specs!#REF!*[1]Fuel_Specs!#REF!/[1]Fuel_Specs!$B99</f>
        <v>#REF!</v>
      </c>
      <c r="CU18" s="34" t="e">
        <f>CU4/[1]Fuel_Specs!#REF!*[1]Fuel_Specs!#REF!*[1]Fuel_Specs!#REF!/[1]Fuel_Specs!$B99</f>
        <v>#REF!</v>
      </c>
      <c r="CV18" s="32" t="e">
        <f t="shared" ca="1" si="54"/>
        <v>#REF!</v>
      </c>
      <c r="CW18" s="32">
        <v>0</v>
      </c>
      <c r="CX18" s="32" t="e">
        <f ca="1">(CX4*$C$41*(1-$C$13)*[1]Fuel_Specs!#REF!/((1-$C$41)*(1-$C$13)*[1]Fuel_Specs!#REF!+$C$41*(1-$C$13)*[1]Fuel_Specs!#REF!+$C$13*[1]Fuel_Specs!#REF!)/[1]Fuel_Specs!#REF!*[1]Fuel_Specs!#REF!*[1]Fuel_Specs!#REF!+CX4*(1-$C$41)*(1-$C$13)*[1]Fuel_Specs!#REF!/((1-$C$41)*(1-$C$13)*[1]Fuel_Specs!#REF!+$C$41*(1-$C$13)*[1]Fuel_Specs!#REF!+$C$13*[1]Fuel_Specs!#REF!)/[1]Fuel_Specs!#REF!*[1]Fuel_Specs!#REF!*[1]Fuel_Specs!#REF!+CX4*$C$13*[1]Fuel_Specs!#REF!/((1-$C$41)*(1-$C$13)*[1]Fuel_Specs!#REF!+$C$41*(1-$C$13)*[1]Fuel_Specs!#REF!+$C$13*[1]Fuel_Specs!#REF!)/[1]Fuel_Specs!#REF!*[1]Fuel_Specs!#REF!*[1]Fuel_Specs!#REF!)/[1]Fuel_Specs!$B99</f>
        <v>#REF!</v>
      </c>
      <c r="CY18" s="32" t="e">
        <f>(CY4*$C$41*(1-$C$13)*[1]Fuel_Specs!#REF!/((1-$C$41)*(1-$C$13)*[1]Fuel_Specs!#REF!+$C$41*(1-$C$13)*[1]Fuel_Specs!#REF!+$C$13*[1]Fuel_Specs!#REF!)/[1]Fuel_Specs!#REF!*[1]Fuel_Specs!#REF!*[1]Fuel_Specs!#REF!+CY4*(1-$C$41)*(1-$C$13)*[1]Fuel_Specs!#REF!/((1-$C$41)*(1-$C$13)*[1]Fuel_Specs!#REF!+$C$41*(1-$C$13)*[1]Fuel_Specs!#REF!+$C$13*[1]Fuel_Specs!#REF!)/[1]Fuel_Specs!#REF!*[1]Fuel_Specs!#REF!*[1]Fuel_Specs!#REF!+CY4*$C$13*[1]Fuel_Specs!#REF!/((1-$C$41)*(1-$C$13)*[1]Fuel_Specs!#REF!+$C$41*(1-$C$13)*[1]Fuel_Specs!#REF!+$C$13*[1]Fuel_Specs!#REF!)/[1]Fuel_Specs!#REF!*[1]Fuel_Specs!#REF!*[1]Fuel_Specs!#REF!)/[1]Fuel_Specs!$B99</f>
        <v>#REF!</v>
      </c>
      <c r="CZ18" s="33" t="e">
        <f t="shared" ca="1" si="55"/>
        <v>#REF!</v>
      </c>
      <c r="DA18" s="32">
        <v>0</v>
      </c>
      <c r="DB18" s="32" t="e">
        <f ca="1">(DB4*$C$42*(1-$C$14)*[1]Fuel_Specs!#REF!/((1-$C$42)*(1-$C$14)*[1]Fuel_Specs!#REF!+$C$42*(1-$C$14)*[1]Fuel_Specs!#REF!+$C$14*[1]Fuel_Specs!#REF!)/[1]Fuel_Specs!#REF!*[1]Fuel_Specs!#REF!*[1]Fuel_Specs!#REF!+DB4*(1-$C$42)*(1-$C$14)*[1]Fuel_Specs!#REF!/((1-$C$42)*(1-$C$14)*[1]Fuel_Specs!#REF!+$C$42*(1-$C$14)*[1]Fuel_Specs!#REF!+$C$14*[1]Fuel_Specs!#REF!)/[1]Fuel_Specs!#REF!*[1]Fuel_Specs!#REF!*[1]Fuel_Specs!#REF!+DB4*$C$14*[1]Fuel_Specs!#REF!/((1-$C$42)*(1-$C$14)*[1]Fuel_Specs!#REF!+$C$42*(1-$C$14)*[1]Fuel_Specs!#REF!+$C$14*[1]Fuel_Specs!#REF!)/[1]Fuel_Specs!#REF!*[1]Fuel_Specs!#REF!*[1]Fuel_Specs!#REF!)/[1]Fuel_Specs!$B99</f>
        <v>#REF!</v>
      </c>
      <c r="DC18" s="34" t="e">
        <f>(DC4*$C$42*(1-$C$14)*[1]Fuel_Specs!#REF!/((1-$C$42)*(1-$C$14)*[1]Fuel_Specs!#REF!+$C$42*(1-$C$14)*[1]Fuel_Specs!#REF!+$C$14*[1]Fuel_Specs!#REF!)/[1]Fuel_Specs!#REF!*[1]Fuel_Specs!#REF!*[1]Fuel_Specs!#REF!+DC4*(1-$C$42)*(1-$C$14)*[1]Fuel_Specs!#REF!/((1-$C$42)*(1-$C$14)*[1]Fuel_Specs!#REF!+$C$42*(1-$C$14)*[1]Fuel_Specs!#REF!+$C$14*[1]Fuel_Specs!#REF!)/[1]Fuel_Specs!#REF!*[1]Fuel_Specs!#REF!*[1]Fuel_Specs!#REF!+DC4*$C$14*[1]Fuel_Specs!#REF!/((1-$C$42)*(1-$C$14)*[1]Fuel_Specs!#REF!+$C$42*(1-$C$14)*[1]Fuel_Specs!#REF!+$C$14*[1]Fuel_Specs!#REF!)/[1]Fuel_Specs!#REF!*[1]Fuel_Specs!#REF!*[1]Fuel_Specs!#REF!)/[1]Fuel_Specs!$B99</f>
        <v>#REF!</v>
      </c>
      <c r="DD18" s="32" t="e">
        <f t="shared" ca="1" si="56"/>
        <v>#REF!</v>
      </c>
      <c r="DE18" s="32">
        <v>0</v>
      </c>
      <c r="DF18" s="32" t="e">
        <f ca="1">(DF4*$C$43*(1-$C$15)*[1]Fuel_Specs!#REF!/((1-$C$43)*(1-$C$15)*[1]Fuel_Specs!#REF!+$C$43*(1-$C$15)*[1]Fuel_Specs!#REF!+$C$15*IF([1]Inputs!$E$755=1,[1]Fuel_Specs!#REF!,[1]Fuel_Specs!#REF!))/[1]Fuel_Specs!#REF!*[1]Fuel_Specs!#REF!*[1]Fuel_Specs!#REF!+DF4*(1-$C$43)*(1-$C$15)*[1]Fuel_Specs!#REF!/((1-$C$43)*(1-$C$15)*[1]Fuel_Specs!#REF!+$C$43*(1-$C$15)*[1]Fuel_Specs!#REF!+$C$15*IF([1]Inputs!$E$755=1,[1]Fuel_Specs!#REF!,[1]Fuel_Specs!#REF!))/[1]Fuel_Specs!#REF!*[1]Fuel_Specs!#REF!*[1]Fuel_Specs!#REF!+DF4*$C$15*IF([1]Inputs!$E$755=1,[1]Fuel_Specs!#REF!,[1]Fuel_Specs!#REF!)/((1-$C$43)*(1-$C$15)*[1]Fuel_Specs!#REF!+$C$43*(1-$C$15)*[1]Fuel_Specs!#REF!+$C$15*IF([1]Inputs!$E$755=1,[1]Fuel_Specs!#REF!,[1]Fuel_Specs!#REF!))/IF([1]Inputs!$E$755=1,[1]Fuel_Specs!#REF!,[1]Fuel_Specs!#REF!)*IF([1]Inputs!$E$755=1,[1]Fuel_Specs!#REF!,[1]Fuel_Specs!#REF!)*IF([1]Inputs!$E$755=1,[1]Fuel_Specs!#REF!,[1]Fuel_Specs!#REF!))/[1]Fuel_Specs!$B99</f>
        <v>#REF!</v>
      </c>
      <c r="DG18" s="34" t="e">
        <f>(DG4*$C$43*(1-$C$15)*[1]Fuel_Specs!#REF!/((1-$C$43)*(1-$C$15)*[1]Fuel_Specs!#REF!+$C$43*(1-$C$15)*[1]Fuel_Specs!#REF!+$C$15*IF([1]Inputs!$E$755=1,[1]Fuel_Specs!#REF!,[1]Fuel_Specs!#REF!))/[1]Fuel_Specs!#REF!*[1]Fuel_Specs!#REF!*[1]Fuel_Specs!#REF!+DG4*(1-$C$43)*(1-$C$15)*[1]Fuel_Specs!#REF!/((1-$C$43)*(1-$C$15)*[1]Fuel_Specs!#REF!+$C$43*(1-$C$15)*[1]Fuel_Specs!#REF!+$C$15*IF([1]Inputs!$E$755=1,[1]Fuel_Specs!#REF!,[1]Fuel_Specs!#REF!))/[1]Fuel_Specs!#REF!*[1]Fuel_Specs!#REF!*[1]Fuel_Specs!#REF!+DG4*$C$15*IF([1]Inputs!$E$755=1,[1]Fuel_Specs!#REF!,[1]Fuel_Specs!#REF!)/((1-$C$43)*(1-$C$15)*[1]Fuel_Specs!#REF!+$C$43*(1-$C$15)*[1]Fuel_Specs!#REF!+$C$15*IF([1]Inputs!$E$755=1,[1]Fuel_Specs!#REF!,[1]Fuel_Specs!#REF!))/IF([1]Inputs!$E$755=1,[1]Fuel_Specs!#REF!,[1]Fuel_Specs!#REF!)*IF([1]Inputs!$E$755=1,[1]Fuel_Specs!#REF!,[1]Fuel_Specs!#REF!)*IF([1]Inputs!$E$755=1,[1]Fuel_Specs!#REF!,[1]Fuel_Specs!#REF!))/[1]Fuel_Specs!$B99</f>
        <v>#REF!</v>
      </c>
      <c r="DH18" s="32" t="e">
        <f t="shared" ca="1" si="57"/>
        <v>#REF!</v>
      </c>
      <c r="DI18" s="32">
        <v>0</v>
      </c>
      <c r="DJ18" s="32" t="e">
        <f ca="1">((((1-$C$44)*(1-$C$17-$C$18)*[1]Fuel_Specs!$E$20+$C$44*(1-$C$17-$C$18)*[1]Fuel_Specs!$E$23+$C$17*[1]Fuel_Specs!$E$32+$C$18*[1]Fuel_Specs!$E$35)/((1-$C$44)*(1-$C$17-$C$18)*[1]Fuel_Specs!$B$20+$C$44*(1-$C$17-$C$18)*[1]Fuel_Specs!$B$23+$C$17*[1]Fuel_Specs!$B$32+$C$18*[1]Fuel_Specs!$B$35)*((1-$C$44)*(1-$C$17-$C$18)*[1]Fuel_Specs!$H$20+$C$44*(1-$C$17-$C$18)*[1]Fuel_Specs!$H$23+$C$17*[1]Fuel_Specs!$H$32+$C$18*[1]Fuel_Specs!$H$35)*DJ4))/[1]Fuel_Specs!$B$168</f>
        <v>#REF!</v>
      </c>
      <c r="DK18" s="32" t="e">
        <f>((((1-$C$44)*(1-$C$17-$C$18)*[1]Fuel_Specs!$E$20+$C$44*(1-$C$17-$C$18)*[1]Fuel_Specs!$E$23+$C$17*[1]Fuel_Specs!$E$32+$C$18*[1]Fuel_Specs!$E$35)/((1-$C$44)*(1-$C$17-$C$18)*[1]Fuel_Specs!$B$20+$C$44*(1-$C$17-$C$18)*[1]Fuel_Specs!$B$23+$C$17*[1]Fuel_Specs!$B$32+$C$18*[1]Fuel_Specs!$B$35)*((1-$C$44)*(1-$C$17-$C$18)*[1]Fuel_Specs!$H$20+$C$44*(1-$C$17-$C$18)*[1]Fuel_Specs!$H$23+$C$17*[1]Fuel_Specs!$H$32+$C$18*[1]Fuel_Specs!$H$35)*DK4))/[1]Fuel_Specs!$B$168</f>
        <v>#REF!</v>
      </c>
      <c r="DL18" s="33">
        <v>0</v>
      </c>
      <c r="DM18" s="32">
        <v>0</v>
      </c>
      <c r="DN18" s="32">
        <v>0</v>
      </c>
      <c r="DO18" s="32">
        <v>0</v>
      </c>
      <c r="DP18" s="32">
        <v>0</v>
      </c>
      <c r="DQ18" s="32">
        <v>0</v>
      </c>
      <c r="DR18" s="32">
        <v>0</v>
      </c>
      <c r="DS18" s="32">
        <v>0</v>
      </c>
      <c r="DT18" s="32">
        <v>0</v>
      </c>
      <c r="DU18" s="32">
        <v>0</v>
      </c>
      <c r="DV18" s="32">
        <v>0</v>
      </c>
      <c r="DW18" s="34">
        <v>0</v>
      </c>
      <c r="DX18" s="32">
        <f t="shared" si="163"/>
        <v>0</v>
      </c>
      <c r="DY18" s="32">
        <v>0</v>
      </c>
      <c r="DZ18" s="32">
        <v>0</v>
      </c>
      <c r="EA18" s="34">
        <v>0</v>
      </c>
      <c r="EB18" s="34" t="e">
        <f>EB4/[1]Fuel_Specs!#REF!*[1]Fuel_Specs!#REF!*[1]Fuel_Specs!#REF!/[1]Fuel_Specs!$B99</f>
        <v>#REF!</v>
      </c>
      <c r="EC18" s="32" t="e">
        <f>(EC4*$C$45*(1-$C$20)*[1]Fuel_Specs!#REF!/((1-$C$45)*(1-$C$20)*[1]Fuel_Specs!#REF!+$C$45*(1-$C$20)*[1]Fuel_Specs!#REF!+$C$20*[1]Fuel_Specs!#REF!)/[1]Fuel_Specs!#REF!*[1]Fuel_Specs!#REF!*[1]Fuel_Specs!#REF!+EC4*(1-$C$45)*(1-$C$20)*[1]Fuel_Specs!#REF!/((1-$C$45)*(1-$C$20)*[1]Fuel_Specs!#REF!+$C$45*(1-$C$20)*[1]Fuel_Specs!#REF!+$C$20*[1]Fuel_Specs!#REF!)/[1]Fuel_Specs!#REF!*[1]Fuel_Specs!#REF!*[1]Fuel_Specs!#REF!+EC4*$C$20*[1]Fuel_Specs!#REF!/((1-$C$45)*(1-$C$20)*[1]Fuel_Specs!#REF!+$C$45*(1-$C$20)*[1]Fuel_Specs!#REF!+$C$20*[1]Fuel_Specs!#REF!)/[1]Fuel_Specs!#REF!*[1]Fuel_Specs!#REF!*[1]Fuel_Specs!#REF!)/[1]Fuel_Specs!$B99</f>
        <v>#REF!</v>
      </c>
      <c r="ED18" s="34" t="e">
        <f>(ED4*$C$46*(1-$C$21)*[1]Fuel_Specs!#REF!/((1-$C$46)*(1-$C$21)*[1]Fuel_Specs!#REF!+$C$46*(1-$C$21)*[1]Fuel_Specs!#REF!+$C$21*[1]Fuel_Specs!#REF!)/[1]Fuel_Specs!#REF!*[1]Fuel_Specs!#REF!*[1]Fuel_Specs!#REF!+ED4*(1-$C$46)*(1-$C$21)*[1]Fuel_Specs!#REF!/((1-$C$46)*(1-$C$21)*[1]Fuel_Specs!#REF!+$C$46*(1-$C$21)*[1]Fuel_Specs!#REF!+$C$21*[1]Fuel_Specs!#REF!)/[1]Fuel_Specs!#REF!*[1]Fuel_Specs!#REF!*[1]Fuel_Specs!#REF!+ED4*$C$21*[1]Fuel_Specs!#REF!/((1-$C$46)*(1-$C$21)*[1]Fuel_Specs!#REF!+$C$46*(1-$C$21)*[1]Fuel_Specs!#REF!+$C$21*[1]Fuel_Specs!#REF!)/[1]Fuel_Specs!#REF!*[1]Fuel_Specs!#REF!*[1]Fuel_Specs!#REF!)/[1]Fuel_Specs!$B99</f>
        <v>#REF!</v>
      </c>
      <c r="EE18" s="31" t="e">
        <f>(EE4*$C$47*(1-$C$22)*[1]Fuel_Specs!#REF!/((1-$C$47)*(1-$C$22)*[1]Fuel_Specs!#REF!+$C$47*(1-$C$22)*[1]Fuel_Specs!#REF!+$C$22*[1]Fuel_Specs!#REF!)/[1]Fuel_Specs!#REF!*[1]Fuel_Specs!#REF!*[1]Fuel_Specs!#REF!+EE4*(1-$C$47)*(1-$C$22)*[1]Fuel_Specs!#REF!/((1-$C$47)*(1-$C$22)*[1]Fuel_Specs!#REF!+$C$47*(1-$C$22)*[1]Fuel_Specs!#REF!+$C$22*[1]Fuel_Specs!#REF!)/[1]Fuel_Specs!#REF!*[1]Fuel_Specs!#REF!*[1]Fuel_Specs!#REF!+EE4*$C$22*[1]Fuel_Specs!#REF!/((1-$C$47)*(1-$C$22)*[1]Fuel_Specs!#REF!+$C$47*(1-$C$22)*[1]Fuel_Specs!#REF!+$C$22*[1]Fuel_Specs!#REF!)/[1]Fuel_Specs!#REF!*[1]Fuel_Specs!#REF!*[1]Fuel_Specs!#REF!)/[1]Fuel_Specs!$B99</f>
        <v>#REF!</v>
      </c>
    </row>
    <row r="19" spans="1:135" x14ac:dyDescent="0.25">
      <c r="A19" s="5" t="s">
        <v>136</v>
      </c>
      <c r="B19" s="32">
        <f>IF([1]Inputs!$E$16=1,[1]Inputs!F1220,IF([1]Inputs!$E$16=2,[1]Inputs!G1220,[1]Inputs!H1220))</f>
        <v>0</v>
      </c>
      <c r="C19" s="32" t="e">
        <f t="shared" ref="C19:N19" si="854">$B19*#REF!</f>
        <v>#REF!</v>
      </c>
      <c r="D19" s="32" t="e">
        <f t="shared" ref="D19:O19" si="855">$B19*#REF!</f>
        <v>#REF!</v>
      </c>
      <c r="E19" s="32" t="e">
        <f t="shared" ref="E19:P19" si="856">$B19*#REF!</f>
        <v>#REF!</v>
      </c>
      <c r="F19" s="32" t="e">
        <f t="shared" ref="F19:Q19" si="857">$B19*#REF!</f>
        <v>#REF!</v>
      </c>
      <c r="G19" s="32" t="e">
        <f t="shared" ref="G19:R19" si="858">$B19*#REF!</f>
        <v>#REF!</v>
      </c>
      <c r="H19" s="32" t="e">
        <f t="shared" ref="H19:S19" si="859">$B19*#REF!</f>
        <v>#REF!</v>
      </c>
      <c r="I19" s="32" t="e">
        <f t="shared" ref="I19:T19" si="860">$B19*#REF!</f>
        <v>#REF!</v>
      </c>
      <c r="J19" s="32" t="e">
        <f t="shared" ref="J19:U19" si="861">$B19*#REF!</f>
        <v>#REF!</v>
      </c>
      <c r="K19" s="32" t="e">
        <f t="shared" ref="K19:V19" si="862">$B19*#REF!</f>
        <v>#REF!</v>
      </c>
      <c r="L19" s="32" t="e">
        <f t="shared" ref="L19:W19" si="863">$B19*#REF!</f>
        <v>#REF!</v>
      </c>
      <c r="M19" s="32" t="e">
        <f t="shared" ref="M19:X19" si="864">$B19*#REF!</f>
        <v>#REF!</v>
      </c>
      <c r="N19" s="32" t="e">
        <f t="shared" ref="N19:Y19" si="865">$B19*#REF!</f>
        <v>#REF!</v>
      </c>
      <c r="O19" s="32" t="e">
        <f t="shared" ref="O19:P22" si="866">$B19*#REF!</f>
        <v>#REF!</v>
      </c>
      <c r="P19" s="32" t="e">
        <f t="shared" ref="P19:Q22" si="867">$B19*#REF!</f>
        <v>#REF!</v>
      </c>
      <c r="Q19" s="32" t="e">
        <f>$B19*#REF!</f>
        <v>#REF!</v>
      </c>
      <c r="R19" s="32" t="e">
        <f>$B19*#REF!</f>
        <v>#REF!</v>
      </c>
      <c r="S19" s="32">
        <f t="shared" si="183"/>
        <v>0</v>
      </c>
      <c r="T19" s="32">
        <f t="shared" si="183"/>
        <v>0</v>
      </c>
      <c r="U19" s="32">
        <f t="shared" si="183"/>
        <v>0</v>
      </c>
      <c r="V19" s="33" t="e">
        <f t="shared" ref="V19:Z22" si="868">$B19*#REF!</f>
        <v>#REF!</v>
      </c>
      <c r="W19" s="32" t="e">
        <f t="shared" ref="W19:AA22" si="869">$B19*#REF!</f>
        <v>#REF!</v>
      </c>
      <c r="X19" s="32" t="e">
        <f t="shared" ref="X19:AB22" si="870">$B19*#REF!</f>
        <v>#REF!</v>
      </c>
      <c r="Y19" s="32" t="e">
        <f t="shared" ref="Y19:AC22" si="871">$B19*#REF!</f>
        <v>#REF!</v>
      </c>
      <c r="Z19" s="34" t="e">
        <f t="shared" ref="Z19:AD22" si="872">$B19*#REF!</f>
        <v>#REF!</v>
      </c>
      <c r="AA19" s="32">
        <f>IF([1]Inputs!$E$16=1,[1]Inputs!I1220,IF([1]Inputs!$E$16=2,[1]Inputs!J1220,[1]Inputs!K1220))</f>
        <v>0</v>
      </c>
      <c r="AB19" s="32" t="e">
        <f t="shared" ref="AB19:AG22" si="873">$AA19*#REF!</f>
        <v>#REF!</v>
      </c>
      <c r="AC19" s="32" t="e">
        <f t="shared" ref="AC19:AH22" si="874">$AA19*#REF!</f>
        <v>#REF!</v>
      </c>
      <c r="AD19" s="32" t="e">
        <f t="shared" ref="AD19:AI22" si="875">$AA19*#REF!</f>
        <v>#REF!</v>
      </c>
      <c r="AE19" s="32" t="e">
        <f t="shared" ref="AE19:AJ22" si="876">$AA19*#REF!</f>
        <v>#REF!</v>
      </c>
      <c r="AF19" s="32" t="e">
        <f t="shared" ref="AF19:AK22" si="877">$AA19*#REF!</f>
        <v>#REF!</v>
      </c>
      <c r="AG19" s="32" t="e">
        <f t="shared" ref="AG19:AL22" si="878">$AA19*#REF!</f>
        <v>#REF!</v>
      </c>
      <c r="AH19" s="33" t="e">
        <f t="shared" ref="AH19:AQ22" si="879">$B19*#REF!</f>
        <v>#REF!</v>
      </c>
      <c r="AI19" s="32" t="e">
        <f t="shared" ref="AI19:AR22" si="880">$B19*#REF!</f>
        <v>#REF!</v>
      </c>
      <c r="AJ19" s="32" t="e">
        <f t="shared" ref="AJ19:AS22" si="881">$B19*#REF!</f>
        <v>#REF!</v>
      </c>
      <c r="AK19" s="32" t="e">
        <f t="shared" ref="AK19:AT22" si="882">$B19*#REF!</f>
        <v>#REF!</v>
      </c>
      <c r="AL19" s="32" t="e">
        <f t="shared" ref="AL19:AU22" si="883">$B19*#REF!</f>
        <v>#REF!</v>
      </c>
      <c r="AM19" s="32" t="e">
        <f t="shared" ref="AM19:AV22" si="884">$B19*#REF!</f>
        <v>#REF!</v>
      </c>
      <c r="AN19" s="32" t="e">
        <f t="shared" ref="AN19:AW22" si="885">$B19*#REF!</f>
        <v>#REF!</v>
      </c>
      <c r="AO19" s="32" t="e">
        <f t="shared" ref="AO19:AX22" si="886">$B19*#REF!</f>
        <v>#REF!</v>
      </c>
      <c r="AP19" s="32" t="e">
        <f t="shared" ref="AP19:AY22" si="887">$B19*#REF!</f>
        <v>#REF!</v>
      </c>
      <c r="AQ19" s="32" t="e">
        <f t="shared" ref="AQ19:AZ22" si="888">$B19*#REF!</f>
        <v>#REF!</v>
      </c>
      <c r="AR19" s="34" t="e">
        <f>$B19*#REF!</f>
        <v>#REF!</v>
      </c>
      <c r="AS19" s="32" t="e">
        <f>AU19+AT19</f>
        <v>#DIV/0!</v>
      </c>
      <c r="AT19" s="32" t="e">
        <f>$B19*#REF!</f>
        <v>#REF!</v>
      </c>
      <c r="AU19" s="32" t="e">
        <f>$B$72/AU$72*$B19*#REF!</f>
        <v>#DIV/0!</v>
      </c>
      <c r="AV19" s="32" t="e">
        <f>$B19*#REF!</f>
        <v>#REF!</v>
      </c>
      <c r="AW19" s="33" t="e">
        <f>AY19+AX19</f>
        <v>#DIV/0!</v>
      </c>
      <c r="AX19" s="32" t="e">
        <f>$B19*#REF!</f>
        <v>#REF!</v>
      </c>
      <c r="AY19" s="32" t="e">
        <f>$B$72/AY$72*$B19*#REF!</f>
        <v>#DIV/0!</v>
      </c>
      <c r="AZ19" s="34" t="e">
        <f>$B19*#REF!</f>
        <v>#REF!</v>
      </c>
      <c r="BA19" s="33" t="e">
        <f>BC19+BB19</f>
        <v>#DIV/0!</v>
      </c>
      <c r="BB19" s="32" t="e">
        <f>$B19*#REF!</f>
        <v>#REF!</v>
      </c>
      <c r="BC19" s="32" t="e">
        <f>$B$72/BC$72*$B19*#REF!</f>
        <v>#DIV/0!</v>
      </c>
      <c r="BD19" s="34" t="e">
        <f>$B19*#REF!</f>
        <v>#REF!</v>
      </c>
      <c r="BE19" s="32" t="e">
        <f ca="1">BG19+BF19</f>
        <v>#REF!</v>
      </c>
      <c r="BF19" s="32" t="e">
        <f>$B19*#REF!</f>
        <v>#REF!</v>
      </c>
      <c r="BG19" s="32" t="e">
        <f ca="1">$B$72/BG4*$B19*#REF!</f>
        <v>#REF!</v>
      </c>
      <c r="BH19" s="32" t="e">
        <f>$B19*#REF!</f>
        <v>#REF!</v>
      </c>
      <c r="BI19" s="33" t="e">
        <f ca="1">BK19+BJ19</f>
        <v>#REF!</v>
      </c>
      <c r="BJ19" s="32" t="e">
        <f>$B19*#REF!</f>
        <v>#REF!</v>
      </c>
      <c r="BK19" s="32" t="e">
        <f ca="1">$B$72/BK3*$B19*#REF!</f>
        <v>#REF!</v>
      </c>
      <c r="BL19" s="34" t="e">
        <f>$B19*#REF!</f>
        <v>#REF!</v>
      </c>
      <c r="BM19" s="32" t="e">
        <f ca="1">BO19+BN19</f>
        <v>#REF!</v>
      </c>
      <c r="BN19" s="32" t="e">
        <f>$B19*#REF!</f>
        <v>#REF!</v>
      </c>
      <c r="BO19" s="32" t="e">
        <f ca="1">$B$72/BO3*$B19*#REF!</f>
        <v>#REF!</v>
      </c>
      <c r="BP19" s="32" t="e">
        <f>$B19*#REF!</f>
        <v>#REF!</v>
      </c>
      <c r="BQ19" s="33" t="e">
        <f ca="1">BS19+BR19</f>
        <v>#REF!</v>
      </c>
      <c r="BR19" s="32" t="e">
        <f>$B19*#REF!</f>
        <v>#REF!</v>
      </c>
      <c r="BS19" s="32" t="e">
        <f ca="1">$B$72/BS3*$B19*#REF!</f>
        <v>#REF!</v>
      </c>
      <c r="BT19" s="34" t="e">
        <f>$B19*#REF!</f>
        <v>#REF!</v>
      </c>
      <c r="BU19" s="32" t="e">
        <f ca="1">BW19+BV19</f>
        <v>#REF!</v>
      </c>
      <c r="BV19" s="32" t="e">
        <f>$B19*#REF!</f>
        <v>#REF!</v>
      </c>
      <c r="BW19" s="32" t="e">
        <f ca="1">$B$72/BW3*$B19*#REF!</f>
        <v>#REF!</v>
      </c>
      <c r="BX19" s="32" t="e">
        <f>$B19*#REF!</f>
        <v>#REF!</v>
      </c>
      <c r="BY19" s="33" t="e">
        <f ca="1">CA19+BZ19</f>
        <v>#REF!</v>
      </c>
      <c r="BZ19" s="32" t="e">
        <f>$B19*#REF!</f>
        <v>#REF!</v>
      </c>
      <c r="CA19" s="32" t="e">
        <f ca="1">$B$72/CA3*$B19*#REF!</f>
        <v>#REF!</v>
      </c>
      <c r="CB19" s="34" t="e">
        <f>$B19*#REF!</f>
        <v>#REF!</v>
      </c>
      <c r="CC19" s="32" t="e">
        <f ca="1">CE19+CD19</f>
        <v>#REF!</v>
      </c>
      <c r="CD19" s="32" t="e">
        <f>$B19*#REF!</f>
        <v>#REF!</v>
      </c>
      <c r="CE19" s="32" t="e">
        <f ca="1">$B$72/CE3*$B19*#REF!</f>
        <v>#REF!</v>
      </c>
      <c r="CF19" s="32" t="e">
        <f>$B19*#REF!</f>
        <v>#REF!</v>
      </c>
      <c r="CG19" s="32" t="e">
        <f>$B19*#REF!</f>
        <v>#REF!</v>
      </c>
      <c r="CH19" s="33" t="e">
        <f t="shared" ref="CH19:CM22" si="889">$AA19*#REF!</f>
        <v>#REF!</v>
      </c>
      <c r="CI19" s="32" t="e">
        <f t="shared" ref="CI19:CN22" si="890">$AA19*#REF!</f>
        <v>#REF!</v>
      </c>
      <c r="CJ19" s="32" t="e">
        <f t="shared" ref="CJ19:CO22" si="891">$AA19*#REF!</f>
        <v>#REF!</v>
      </c>
      <c r="CK19" s="32" t="e">
        <f t="shared" ref="CK19:CP22" si="892">$AA19*#REF!</f>
        <v>#REF!</v>
      </c>
      <c r="CL19" s="32" t="e">
        <f t="shared" ref="CL19:CQ22" si="893">$AA19*#REF!</f>
        <v>#REF!</v>
      </c>
      <c r="CM19" s="34" t="e">
        <f t="shared" ref="CM19:CR22" si="894">$AA19*#REF!</f>
        <v>#REF!</v>
      </c>
      <c r="CN19" s="32" t="e">
        <f ca="1">CP19+CO19</f>
        <v>#REF!</v>
      </c>
      <c r="CO19" s="32" t="e">
        <f>$B19*#REF!</f>
        <v>#REF!</v>
      </c>
      <c r="CP19" s="32" t="e">
        <f ca="1">$B$72/CP3*$AA19*#REF!</f>
        <v>#REF!</v>
      </c>
      <c r="CQ19" s="32" t="e">
        <f>$AA19*#REF!</f>
        <v>#REF!</v>
      </c>
      <c r="CR19" s="33" t="e">
        <f ca="1">CT19+CS19</f>
        <v>#REF!</v>
      </c>
      <c r="CS19" s="32" t="e">
        <f>$B19*#REF!</f>
        <v>#REF!</v>
      </c>
      <c r="CT19" s="32" t="e">
        <f ca="1">$B$72/CT3*$AA19*#REF!</f>
        <v>#REF!</v>
      </c>
      <c r="CU19" s="34" t="e">
        <f>$AA19*#REF!</f>
        <v>#REF!</v>
      </c>
      <c r="CV19" s="32" t="e">
        <f ca="1">CX19+CW19</f>
        <v>#REF!</v>
      </c>
      <c r="CW19" s="32" t="e">
        <f>$B19*#REF!</f>
        <v>#REF!</v>
      </c>
      <c r="CX19" s="32" t="e">
        <f ca="1">$B$72/CX3*$AA19*#REF!</f>
        <v>#REF!</v>
      </c>
      <c r="CY19" s="32" t="e">
        <f>$AA19*#REF!</f>
        <v>#REF!</v>
      </c>
      <c r="CZ19" s="33" t="e">
        <f ca="1">DB19+DA19</f>
        <v>#REF!</v>
      </c>
      <c r="DA19" s="32" t="e">
        <f>$B19*#REF!</f>
        <v>#REF!</v>
      </c>
      <c r="DB19" s="32" t="e">
        <f ca="1">$B$72/DB3*$AA19*#REF!</f>
        <v>#REF!</v>
      </c>
      <c r="DC19" s="34" t="e">
        <f>$AA19*#REF!</f>
        <v>#REF!</v>
      </c>
      <c r="DD19" s="32" t="e">
        <f ca="1">DF19+DE19</f>
        <v>#REF!</v>
      </c>
      <c r="DE19" s="32" t="e">
        <f>$B19*#REF!</f>
        <v>#REF!</v>
      </c>
      <c r="DF19" s="32" t="e">
        <f ca="1">$B$72/DF3*$AA19*#REF!</f>
        <v>#REF!</v>
      </c>
      <c r="DG19" s="34" t="e">
        <f>$AA19*#REF!</f>
        <v>#REF!</v>
      </c>
      <c r="DH19" s="32" t="e">
        <f ca="1">DJ19+DI19</f>
        <v>#REF!</v>
      </c>
      <c r="DI19" s="32" t="e">
        <f>$B19*#REF!</f>
        <v>#REF!</v>
      </c>
      <c r="DJ19" s="32" t="e">
        <f ca="1">$B$72/DJ3*$AA19*#REF!</f>
        <v>#REF!</v>
      </c>
      <c r="DK19" s="32" t="e">
        <f>$AA19*#REF!</f>
        <v>#REF!</v>
      </c>
      <c r="DL19" s="33" t="e">
        <f t="shared" ref="DL19:DM22" si="895">$B19*#REF!</f>
        <v>#REF!</v>
      </c>
      <c r="DM19" s="32" t="e">
        <f t="shared" ref="DM19:DN22" si="896">$B19*#REF!</f>
        <v>#REF!</v>
      </c>
      <c r="DN19" s="32" t="e">
        <f t="shared" ref="DN19:DW22" si="897">$B19*#REF!</f>
        <v>#REF!</v>
      </c>
      <c r="DO19" s="32" t="e">
        <f t="shared" ref="DO19:DX22" si="898">$B19*#REF!</f>
        <v>#REF!</v>
      </c>
      <c r="DP19" s="32" t="e">
        <f t="shared" ref="DP19:DY22" si="899">$B19*#REF!</f>
        <v>#REF!</v>
      </c>
      <c r="DQ19" s="32" t="e">
        <f t="shared" ref="DQ19:DZ22" si="900">$B19*#REF!</f>
        <v>#REF!</v>
      </c>
      <c r="DR19" s="32" t="e">
        <f t="shared" ref="DR19:EA22" si="901">$B19*#REF!</f>
        <v>#REF!</v>
      </c>
      <c r="DS19" s="32" t="e">
        <f t="shared" ref="DS19:EB22" si="902">$B19*#REF!</f>
        <v>#REF!</v>
      </c>
      <c r="DT19" s="32" t="e">
        <f t="shared" ref="DT19:EC22" si="903">$B19*#REF!</f>
        <v>#REF!</v>
      </c>
      <c r="DU19" s="32" t="e">
        <f t="shared" ref="DU19:ED22" si="904">$B19*#REF!</f>
        <v>#REF!</v>
      </c>
      <c r="DV19" s="32" t="e">
        <f t="shared" ref="DV19:EE22" si="905">$B19*#REF!</f>
        <v>#REF!</v>
      </c>
      <c r="DW19" s="34" t="e">
        <f t="shared" ref="DW19:EE22" si="906">$B19*#REF!</f>
        <v>#REF!</v>
      </c>
      <c r="DX19" s="32" t="e">
        <f ca="1">DY19+DZ19</f>
        <v>#REF!</v>
      </c>
      <c r="DY19" s="32" t="e">
        <f>$B19*#REF!</f>
        <v>#REF!</v>
      </c>
      <c r="DZ19" s="32" t="e">
        <f ca="1">$B$72/DZ3*$B19*#REF!</f>
        <v>#REF!</v>
      </c>
      <c r="EA19" s="34" t="e">
        <f>$B19*#REF!</f>
        <v>#REF!</v>
      </c>
      <c r="EB19" s="34" t="e">
        <f>$AA19*#REF!</f>
        <v>#REF!</v>
      </c>
      <c r="EC19" s="32" t="e">
        <f t="shared" ref="EC19:ED22" si="907">$B19*#REF!</f>
        <v>#REF!</v>
      </c>
      <c r="ED19" s="34" t="e">
        <f t="shared" ref="ED19:EE22" si="908">$B19*#REF!</f>
        <v>#REF!</v>
      </c>
      <c r="EE19" s="31" t="e">
        <f>$B19*#REF!</f>
        <v>#REF!</v>
      </c>
    </row>
    <row r="20" spans="1:135" x14ac:dyDescent="0.25">
      <c r="A20" s="5" t="s">
        <v>137</v>
      </c>
      <c r="B20" s="32">
        <f>IF([1]Inputs!$E$16=1,[1]Inputs!F1221,IF([1]Inputs!$E$16=2,[1]Inputs!G1221,[1]Inputs!H1221))</f>
        <v>0</v>
      </c>
      <c r="C20" s="32" t="e">
        <f t="shared" ref="C20:N20" si="909">$B20*#REF!</f>
        <v>#REF!</v>
      </c>
      <c r="D20" s="32" t="e">
        <f t="shared" ref="D20:O20" si="910">$B20*#REF!</f>
        <v>#REF!</v>
      </c>
      <c r="E20" s="32" t="e">
        <f t="shared" ref="E20:P20" si="911">$B20*#REF!</f>
        <v>#REF!</v>
      </c>
      <c r="F20" s="32" t="e">
        <f t="shared" ref="F20:Q20" si="912">$B20*#REF!</f>
        <v>#REF!</v>
      </c>
      <c r="G20" s="32" t="e">
        <f t="shared" ref="G20:R20" si="913">$B20*#REF!</f>
        <v>#REF!</v>
      </c>
      <c r="H20" s="32" t="e">
        <f t="shared" ref="H20:S20" si="914">$B20*#REF!</f>
        <v>#REF!</v>
      </c>
      <c r="I20" s="32" t="e">
        <f t="shared" ref="I20:T20" si="915">$B20*#REF!</f>
        <v>#REF!</v>
      </c>
      <c r="J20" s="32" t="e">
        <f t="shared" ref="J20:U20" si="916">$B20*#REF!</f>
        <v>#REF!</v>
      </c>
      <c r="K20" s="32" t="e">
        <f t="shared" ref="K20:V20" si="917">$B20*#REF!</f>
        <v>#REF!</v>
      </c>
      <c r="L20" s="32" t="e">
        <f t="shared" ref="L20:W20" si="918">$B20*#REF!</f>
        <v>#REF!</v>
      </c>
      <c r="M20" s="32" t="e">
        <f t="shared" ref="M20:X20" si="919">$B20*#REF!</f>
        <v>#REF!</v>
      </c>
      <c r="N20" s="32" t="e">
        <f t="shared" ref="N20:Y20" si="920">$B20*#REF!</f>
        <v>#REF!</v>
      </c>
      <c r="O20" s="32" t="e">
        <f t="shared" ref="O20:P23" si="921">$B20*#REF!</f>
        <v>#REF!</v>
      </c>
      <c r="P20" s="32" t="e">
        <f t="shared" ref="P20:Q23" si="922">$B20*#REF!</f>
        <v>#REF!</v>
      </c>
      <c r="Q20" s="32" t="e">
        <f>$B20*#REF!</f>
        <v>#REF!</v>
      </c>
      <c r="R20" s="32" t="e">
        <f t="shared" ref="R20:R22" si="923">$B20*#REF!</f>
        <v>#REF!</v>
      </c>
      <c r="S20" s="32">
        <f t="shared" si="183"/>
        <v>0</v>
      </c>
      <c r="T20" s="32">
        <f t="shared" si="183"/>
        <v>0</v>
      </c>
      <c r="U20" s="32">
        <f t="shared" si="183"/>
        <v>0</v>
      </c>
      <c r="V20" s="33" t="e">
        <f t="shared" ref="V20:Z23" si="924">$B20*#REF!</f>
        <v>#REF!</v>
      </c>
      <c r="W20" s="32" t="e">
        <f t="shared" ref="W20:AA23" si="925">$B20*#REF!</f>
        <v>#REF!</v>
      </c>
      <c r="X20" s="32" t="e">
        <f t="shared" ref="X20:AB23" si="926">$B20*#REF!</f>
        <v>#REF!</v>
      </c>
      <c r="Y20" s="32" t="e">
        <f t="shared" ref="Y20:AC23" si="927">$B20*#REF!</f>
        <v>#REF!</v>
      </c>
      <c r="Z20" s="34" t="e">
        <f t="shared" ref="Z20:AD23" si="928">$B20*#REF!</f>
        <v>#REF!</v>
      </c>
      <c r="AA20" s="32">
        <f>IF([1]Inputs!$E$16=1,[1]Inputs!I1221,IF([1]Inputs!$E$16=2,[1]Inputs!J1221,[1]Inputs!K1221))</f>
        <v>0</v>
      </c>
      <c r="AB20" s="32" t="e">
        <f t="shared" ref="AB20:AG23" si="929">$AA20*#REF!</f>
        <v>#REF!</v>
      </c>
      <c r="AC20" s="32" t="e">
        <f t="shared" ref="AC20:AH23" si="930">$AA20*#REF!</f>
        <v>#REF!</v>
      </c>
      <c r="AD20" s="32" t="e">
        <f t="shared" ref="AD20:AI23" si="931">$AA20*#REF!</f>
        <v>#REF!</v>
      </c>
      <c r="AE20" s="32" t="e">
        <f t="shared" ref="AE20:AJ23" si="932">$AA20*#REF!</f>
        <v>#REF!</v>
      </c>
      <c r="AF20" s="32" t="e">
        <f t="shared" ref="AF20:AK23" si="933">$AA20*#REF!</f>
        <v>#REF!</v>
      </c>
      <c r="AG20" s="32" t="e">
        <f t="shared" ref="AG20:AL23" si="934">$AA20*#REF!</f>
        <v>#REF!</v>
      </c>
      <c r="AH20" s="33" t="e">
        <f t="shared" ref="AH20:AQ23" si="935">$B20*#REF!</f>
        <v>#REF!</v>
      </c>
      <c r="AI20" s="32" t="e">
        <f t="shared" ref="AI20:AR23" si="936">$B20*#REF!</f>
        <v>#REF!</v>
      </c>
      <c r="AJ20" s="32" t="e">
        <f t="shared" ref="AJ20:AS23" si="937">$B20*#REF!</f>
        <v>#REF!</v>
      </c>
      <c r="AK20" s="32" t="e">
        <f t="shared" ref="AK20:AT23" si="938">$B20*#REF!</f>
        <v>#REF!</v>
      </c>
      <c r="AL20" s="32" t="e">
        <f t="shared" ref="AL20:AU23" si="939">$B20*#REF!</f>
        <v>#REF!</v>
      </c>
      <c r="AM20" s="32" t="e">
        <f t="shared" ref="AM20:AV23" si="940">$B20*#REF!</f>
        <v>#REF!</v>
      </c>
      <c r="AN20" s="32" t="e">
        <f t="shared" ref="AN20:AW23" si="941">$B20*#REF!</f>
        <v>#REF!</v>
      </c>
      <c r="AO20" s="32" t="e">
        <f t="shared" ref="AO20:AX23" si="942">$B20*#REF!</f>
        <v>#REF!</v>
      </c>
      <c r="AP20" s="32" t="e">
        <f t="shared" ref="AP20:AY23" si="943">$B20*#REF!</f>
        <v>#REF!</v>
      </c>
      <c r="AQ20" s="32" t="e">
        <f t="shared" ref="AQ20:AZ23" si="944">$B20*#REF!</f>
        <v>#REF!</v>
      </c>
      <c r="AR20" s="34" t="e">
        <f>$B20*#REF!</f>
        <v>#REF!</v>
      </c>
      <c r="AS20" s="32" t="e">
        <f>AU20+AT20</f>
        <v>#DIV/0!</v>
      </c>
      <c r="AT20" s="32" t="e">
        <f>$B20*#REF!</f>
        <v>#REF!</v>
      </c>
      <c r="AU20" s="32" t="e">
        <f>$B$72/AU$72*$B20*#REF!</f>
        <v>#DIV/0!</v>
      </c>
      <c r="AV20" s="32" t="e">
        <f>$B20*#REF!</f>
        <v>#REF!</v>
      </c>
      <c r="AW20" s="33" t="e">
        <f>AY20+AX20</f>
        <v>#DIV/0!</v>
      </c>
      <c r="AX20" s="32" t="e">
        <f>$B20*#REF!</f>
        <v>#REF!</v>
      </c>
      <c r="AY20" s="32" t="e">
        <f>$B$72/AY$72*$B20*#REF!</f>
        <v>#DIV/0!</v>
      </c>
      <c r="AZ20" s="34" t="e">
        <f>$B20*#REF!</f>
        <v>#REF!</v>
      </c>
      <c r="BA20" s="33" t="e">
        <f>BC20+BB20</f>
        <v>#DIV/0!</v>
      </c>
      <c r="BB20" s="32" t="e">
        <f>$B20*#REF!</f>
        <v>#REF!</v>
      </c>
      <c r="BC20" s="32" t="e">
        <f>$B$72/BC$72*$B20*#REF!</f>
        <v>#DIV/0!</v>
      </c>
      <c r="BD20" s="34" t="e">
        <f>$B20*#REF!</f>
        <v>#REF!</v>
      </c>
      <c r="BE20" s="32" t="e">
        <f ca="1">BG20+BF20</f>
        <v>#REF!</v>
      </c>
      <c r="BF20" s="32" t="e">
        <f>$B20*#REF!</f>
        <v>#REF!</v>
      </c>
      <c r="BG20" s="32" t="e">
        <f ca="1">$B$72/BG5*$B20*#REF!</f>
        <v>#REF!</v>
      </c>
      <c r="BH20" s="32" t="e">
        <f>$B20*#REF!</f>
        <v>#REF!</v>
      </c>
      <c r="BI20" s="33" t="e">
        <f ca="1">BK20+BJ20</f>
        <v>#REF!</v>
      </c>
      <c r="BJ20" s="32" t="e">
        <f>$B20*#REF!</f>
        <v>#REF!</v>
      </c>
      <c r="BK20" s="32" t="e">
        <f ca="1">$B$72/BK3*$B20*#REF!</f>
        <v>#REF!</v>
      </c>
      <c r="BL20" s="34" t="e">
        <f>$B20*#REF!</f>
        <v>#REF!</v>
      </c>
      <c r="BM20" s="32" t="e">
        <f ca="1">BO20+BN20</f>
        <v>#REF!</v>
      </c>
      <c r="BN20" s="32" t="e">
        <f>$B20*#REF!</f>
        <v>#REF!</v>
      </c>
      <c r="BO20" s="32" t="e">
        <f ca="1">$B$72/BO3*$B20*#REF!</f>
        <v>#REF!</v>
      </c>
      <c r="BP20" s="32" t="e">
        <f>$B20*#REF!</f>
        <v>#REF!</v>
      </c>
      <c r="BQ20" s="33" t="e">
        <f ca="1">BS20+BR20</f>
        <v>#REF!</v>
      </c>
      <c r="BR20" s="32" t="e">
        <f>$B20*#REF!</f>
        <v>#REF!</v>
      </c>
      <c r="BS20" s="32" t="e">
        <f ca="1">$B$72/BS3*$B20*#REF!</f>
        <v>#REF!</v>
      </c>
      <c r="BT20" s="34" t="e">
        <f>$B20*#REF!</f>
        <v>#REF!</v>
      </c>
      <c r="BU20" s="32" t="e">
        <f ca="1">BW20+BV20</f>
        <v>#REF!</v>
      </c>
      <c r="BV20" s="32" t="e">
        <f>$B20*#REF!</f>
        <v>#REF!</v>
      </c>
      <c r="BW20" s="32" t="e">
        <f ca="1">$B$72/BW3*$B20*#REF!</f>
        <v>#REF!</v>
      </c>
      <c r="BX20" s="32" t="e">
        <f>$B20*#REF!</f>
        <v>#REF!</v>
      </c>
      <c r="BY20" s="33" t="e">
        <f ca="1">CA20+BZ20</f>
        <v>#REF!</v>
      </c>
      <c r="BZ20" s="32" t="e">
        <f>$B20*#REF!</f>
        <v>#REF!</v>
      </c>
      <c r="CA20" s="32" t="e">
        <f ca="1">$B$72/CA3*$B20*#REF!</f>
        <v>#REF!</v>
      </c>
      <c r="CB20" s="34" t="e">
        <f>$B20*#REF!</f>
        <v>#REF!</v>
      </c>
      <c r="CC20" s="32" t="e">
        <f ca="1">CE20+CD20</f>
        <v>#REF!</v>
      </c>
      <c r="CD20" s="32" t="e">
        <f>$B20*#REF!</f>
        <v>#REF!</v>
      </c>
      <c r="CE20" s="32" t="e">
        <f ca="1">$B$72/CE3*$B20*#REF!</f>
        <v>#REF!</v>
      </c>
      <c r="CF20" s="32" t="e">
        <f>$B20*#REF!</f>
        <v>#REF!</v>
      </c>
      <c r="CG20" s="32" t="e">
        <f>$B20*#REF!</f>
        <v>#REF!</v>
      </c>
      <c r="CH20" s="33" t="e">
        <f t="shared" ref="CH20:CM23" si="945">$AA20*#REF!</f>
        <v>#REF!</v>
      </c>
      <c r="CI20" s="32" t="e">
        <f t="shared" ref="CI20:CN23" si="946">$AA20*#REF!</f>
        <v>#REF!</v>
      </c>
      <c r="CJ20" s="32" t="e">
        <f t="shared" ref="CJ20:CO23" si="947">$AA20*#REF!</f>
        <v>#REF!</v>
      </c>
      <c r="CK20" s="32" t="e">
        <f t="shared" ref="CK20:CP23" si="948">$AA20*#REF!</f>
        <v>#REF!</v>
      </c>
      <c r="CL20" s="32" t="e">
        <f t="shared" ref="CL20:CQ23" si="949">$AA20*#REF!</f>
        <v>#REF!</v>
      </c>
      <c r="CM20" s="34" t="e">
        <f t="shared" ref="CM20:CR23" si="950">$AA20*#REF!</f>
        <v>#REF!</v>
      </c>
      <c r="CN20" s="32" t="e">
        <f ca="1">CP20+CO20</f>
        <v>#REF!</v>
      </c>
      <c r="CO20" s="32" t="e">
        <f>$B20*#REF!</f>
        <v>#REF!</v>
      </c>
      <c r="CP20" s="32" t="e">
        <f ca="1">$B$72/CP3*$AA20*#REF!</f>
        <v>#REF!</v>
      </c>
      <c r="CQ20" s="32" t="e">
        <f>$AA20*#REF!</f>
        <v>#REF!</v>
      </c>
      <c r="CR20" s="33" t="e">
        <f ca="1">CT20+CS20</f>
        <v>#REF!</v>
      </c>
      <c r="CS20" s="32" t="e">
        <f>$B20*#REF!</f>
        <v>#REF!</v>
      </c>
      <c r="CT20" s="32" t="e">
        <f ca="1">$B$72/CT3*$AA20*#REF!</f>
        <v>#REF!</v>
      </c>
      <c r="CU20" s="34" t="e">
        <f>$AA20*#REF!</f>
        <v>#REF!</v>
      </c>
      <c r="CV20" s="32" t="e">
        <f ca="1">CX20+CW20</f>
        <v>#REF!</v>
      </c>
      <c r="CW20" s="32" t="e">
        <f>$B20*#REF!</f>
        <v>#REF!</v>
      </c>
      <c r="CX20" s="32" t="e">
        <f ca="1">$B$72/CX3*$AA20*#REF!</f>
        <v>#REF!</v>
      </c>
      <c r="CY20" s="32" t="e">
        <f>$AA20*#REF!</f>
        <v>#REF!</v>
      </c>
      <c r="CZ20" s="33" t="e">
        <f ca="1">DB20+DA20</f>
        <v>#REF!</v>
      </c>
      <c r="DA20" s="32" t="e">
        <f>$B20*#REF!</f>
        <v>#REF!</v>
      </c>
      <c r="DB20" s="32" t="e">
        <f ca="1">$B$72/DB3*$AA20*#REF!</f>
        <v>#REF!</v>
      </c>
      <c r="DC20" s="34" t="e">
        <f>$AA20*#REF!</f>
        <v>#REF!</v>
      </c>
      <c r="DD20" s="32" t="e">
        <f ca="1">DF20+DE20</f>
        <v>#REF!</v>
      </c>
      <c r="DE20" s="32" t="e">
        <f>$B20*#REF!</f>
        <v>#REF!</v>
      </c>
      <c r="DF20" s="32" t="e">
        <f ca="1">$B$72/DF3*$AA20*#REF!</f>
        <v>#REF!</v>
      </c>
      <c r="DG20" s="34" t="e">
        <f>$AA20*#REF!</f>
        <v>#REF!</v>
      </c>
      <c r="DH20" s="32" t="e">
        <f ca="1">DJ20+DI20</f>
        <v>#REF!</v>
      </c>
      <c r="DI20" s="32" t="e">
        <f>$B20*#REF!</f>
        <v>#REF!</v>
      </c>
      <c r="DJ20" s="32" t="e">
        <f ca="1">$B$72/DJ3*$AA20*#REF!</f>
        <v>#REF!</v>
      </c>
      <c r="DK20" s="32" t="e">
        <f>$AA20*#REF!</f>
        <v>#REF!</v>
      </c>
      <c r="DL20" s="33" t="e">
        <f t="shared" ref="DL20:DM23" si="951">$B20*#REF!</f>
        <v>#REF!</v>
      </c>
      <c r="DM20" s="32" t="e">
        <f t="shared" ref="DM20:DN23" si="952">$B20*#REF!</f>
        <v>#REF!</v>
      </c>
      <c r="DN20" s="32" t="e">
        <f t="shared" ref="DN20:DW23" si="953">$B20*#REF!</f>
        <v>#REF!</v>
      </c>
      <c r="DO20" s="32" t="e">
        <f t="shared" ref="DO20:DX23" si="954">$B20*#REF!</f>
        <v>#REF!</v>
      </c>
      <c r="DP20" s="32" t="e">
        <f t="shared" ref="DP20:DY23" si="955">$B20*#REF!</f>
        <v>#REF!</v>
      </c>
      <c r="DQ20" s="32" t="e">
        <f t="shared" ref="DQ20:DZ23" si="956">$B20*#REF!</f>
        <v>#REF!</v>
      </c>
      <c r="DR20" s="32" t="e">
        <f t="shared" ref="DR20:EA23" si="957">$B20*#REF!</f>
        <v>#REF!</v>
      </c>
      <c r="DS20" s="32" t="e">
        <f t="shared" ref="DS20:EB23" si="958">$B20*#REF!</f>
        <v>#REF!</v>
      </c>
      <c r="DT20" s="32" t="e">
        <f t="shared" ref="DT20:EC23" si="959">$B20*#REF!</f>
        <v>#REF!</v>
      </c>
      <c r="DU20" s="32" t="e">
        <f t="shared" ref="DU20:ED23" si="960">$B20*#REF!</f>
        <v>#REF!</v>
      </c>
      <c r="DV20" s="32" t="e">
        <f t="shared" ref="DV20:EE23" si="961">$B20*#REF!</f>
        <v>#REF!</v>
      </c>
      <c r="DW20" s="34" t="e">
        <f t="shared" ref="DW20:EE23" si="962">$B20*#REF!</f>
        <v>#REF!</v>
      </c>
      <c r="DX20" s="32" t="e">
        <f ca="1">DY20+DZ20</f>
        <v>#REF!</v>
      </c>
      <c r="DY20" s="32" t="e">
        <f>$B20*#REF!</f>
        <v>#REF!</v>
      </c>
      <c r="DZ20" s="32" t="e">
        <f ca="1">$B$72/DZ3*$B20*#REF!</f>
        <v>#REF!</v>
      </c>
      <c r="EA20" s="34" t="e">
        <f>$B20*#REF!</f>
        <v>#REF!</v>
      </c>
      <c r="EB20" s="34" t="e">
        <f>$AA20*#REF!</f>
        <v>#REF!</v>
      </c>
      <c r="EC20" s="32" t="e">
        <f t="shared" ref="EC20:ED23" si="963">$B20*#REF!</f>
        <v>#REF!</v>
      </c>
      <c r="ED20" s="34" t="e">
        <f t="shared" ref="ED20:EE23" si="964">$B20*#REF!</f>
        <v>#REF!</v>
      </c>
      <c r="EE20" s="31" t="e">
        <f>$B20*#REF!</f>
        <v>#REF!</v>
      </c>
    </row>
    <row r="21" spans="1:135" x14ac:dyDescent="0.25">
      <c r="A21" s="5" t="s">
        <v>138</v>
      </c>
      <c r="B21" s="32">
        <f>IF([1]Inputs!$E$16=1,[1]Inputs!F1222,IF([1]Inputs!$E$16=2,[1]Inputs!G1222,[1]Inputs!H1222))</f>
        <v>0</v>
      </c>
      <c r="C21" s="32" t="e">
        <f t="shared" ref="C21:N21" si="965">$B21*#REF!</f>
        <v>#REF!</v>
      </c>
      <c r="D21" s="32" t="e">
        <f t="shared" ref="D21:O21" si="966">$B21*#REF!</f>
        <v>#REF!</v>
      </c>
      <c r="E21" s="32" t="e">
        <f t="shared" ref="E21:P21" si="967">$B21*#REF!</f>
        <v>#REF!</v>
      </c>
      <c r="F21" s="32" t="e">
        <f t="shared" ref="F21:Q21" si="968">$B21*#REF!</f>
        <v>#REF!</v>
      </c>
      <c r="G21" s="32" t="e">
        <f t="shared" ref="G21:R21" si="969">$B21*#REF!</f>
        <v>#REF!</v>
      </c>
      <c r="H21" s="32" t="e">
        <f t="shared" ref="H21:S21" si="970">$B21*#REF!</f>
        <v>#REF!</v>
      </c>
      <c r="I21" s="32" t="e">
        <f t="shared" ref="I21:T21" si="971">$B21*#REF!</f>
        <v>#REF!</v>
      </c>
      <c r="J21" s="32" t="e">
        <f t="shared" ref="J21:U21" si="972">$B21*#REF!</f>
        <v>#REF!</v>
      </c>
      <c r="K21" s="32" t="e">
        <f t="shared" ref="K21:V21" si="973">$B21*#REF!</f>
        <v>#REF!</v>
      </c>
      <c r="L21" s="32" t="e">
        <f t="shared" ref="L21:W21" si="974">$B21*#REF!</f>
        <v>#REF!</v>
      </c>
      <c r="M21" s="32" t="e">
        <f t="shared" ref="M21:X21" si="975">$B21*#REF!</f>
        <v>#REF!</v>
      </c>
      <c r="N21" s="32" t="e">
        <f t="shared" ref="N21:Y21" si="976">$B21*#REF!</f>
        <v>#REF!</v>
      </c>
      <c r="O21" s="32" t="e">
        <f t="shared" ref="O21:P24" si="977">$B21*#REF!</f>
        <v>#REF!</v>
      </c>
      <c r="P21" s="32" t="e">
        <f t="shared" ref="P21:Q24" si="978">$B21*#REF!</f>
        <v>#REF!</v>
      </c>
      <c r="Q21" s="32" t="e">
        <f>$B21*#REF!</f>
        <v>#REF!</v>
      </c>
      <c r="R21" s="32" t="e">
        <f t="shared" ref="R21:R23" si="979">$B21*#REF!</f>
        <v>#REF!</v>
      </c>
      <c r="S21" s="32">
        <f t="shared" si="183"/>
        <v>0</v>
      </c>
      <c r="T21" s="32">
        <f t="shared" si="183"/>
        <v>0</v>
      </c>
      <c r="U21" s="32">
        <f t="shared" si="183"/>
        <v>0</v>
      </c>
      <c r="V21" s="33" t="e">
        <f t="shared" ref="V21:Z24" si="980">$B21*#REF!</f>
        <v>#REF!</v>
      </c>
      <c r="W21" s="32" t="e">
        <f t="shared" ref="W21:AA24" si="981">$B21*#REF!</f>
        <v>#REF!</v>
      </c>
      <c r="X21" s="32" t="e">
        <f t="shared" ref="X21:AB24" si="982">$B21*#REF!</f>
        <v>#REF!</v>
      </c>
      <c r="Y21" s="32" t="e">
        <f t="shared" ref="Y21:AC24" si="983">$B21*#REF!</f>
        <v>#REF!</v>
      </c>
      <c r="Z21" s="34" t="e">
        <f t="shared" ref="Z21:AD24" si="984">$B21*#REF!</f>
        <v>#REF!</v>
      </c>
      <c r="AA21" s="32">
        <f>IF([1]Inputs!$E$16=1,[1]Inputs!I1222,IF([1]Inputs!$E$16=2,[1]Inputs!J1222,[1]Inputs!K1222))</f>
        <v>0</v>
      </c>
      <c r="AB21" s="32" t="e">
        <f t="shared" ref="AB21:AG24" si="985">$AA21*#REF!</f>
        <v>#REF!</v>
      </c>
      <c r="AC21" s="32" t="e">
        <f t="shared" ref="AC21:AH24" si="986">$AA21*#REF!</f>
        <v>#REF!</v>
      </c>
      <c r="AD21" s="32" t="e">
        <f t="shared" ref="AD21:AI24" si="987">$AA21*#REF!</f>
        <v>#REF!</v>
      </c>
      <c r="AE21" s="32" t="e">
        <f t="shared" ref="AE21:AJ24" si="988">$AA21*#REF!</f>
        <v>#REF!</v>
      </c>
      <c r="AF21" s="32" t="e">
        <f t="shared" ref="AF21:AK24" si="989">$AA21*#REF!</f>
        <v>#REF!</v>
      </c>
      <c r="AG21" s="32" t="e">
        <f t="shared" ref="AG21:AL24" si="990">$AA21*#REF!</f>
        <v>#REF!</v>
      </c>
      <c r="AH21" s="33" t="e">
        <f t="shared" ref="AH21:AQ24" si="991">$B21*#REF!</f>
        <v>#REF!</v>
      </c>
      <c r="AI21" s="32" t="e">
        <f t="shared" ref="AI21:AR24" si="992">$B21*#REF!</f>
        <v>#REF!</v>
      </c>
      <c r="AJ21" s="32" t="e">
        <f t="shared" ref="AJ21:AS24" si="993">$B21*#REF!</f>
        <v>#REF!</v>
      </c>
      <c r="AK21" s="32" t="e">
        <f t="shared" ref="AK21:AT24" si="994">$B21*#REF!</f>
        <v>#REF!</v>
      </c>
      <c r="AL21" s="32" t="e">
        <f t="shared" ref="AL21:AU24" si="995">$B21*#REF!</f>
        <v>#REF!</v>
      </c>
      <c r="AM21" s="32" t="e">
        <f t="shared" ref="AM21:AV24" si="996">$B21*#REF!</f>
        <v>#REF!</v>
      </c>
      <c r="AN21" s="32" t="e">
        <f t="shared" ref="AN21:AW24" si="997">$B21*#REF!</f>
        <v>#REF!</v>
      </c>
      <c r="AO21" s="32" t="e">
        <f t="shared" ref="AO21:AX24" si="998">$B21*#REF!</f>
        <v>#REF!</v>
      </c>
      <c r="AP21" s="32" t="e">
        <f t="shared" ref="AP21:AY24" si="999">$B21*#REF!</f>
        <v>#REF!</v>
      </c>
      <c r="AQ21" s="32" t="e">
        <f t="shared" ref="AQ21:AZ24" si="1000">$B21*#REF!</f>
        <v>#REF!</v>
      </c>
      <c r="AR21" s="34" t="e">
        <f>$B21*#REF!</f>
        <v>#REF!</v>
      </c>
      <c r="AS21" s="32" t="e">
        <f t="shared" si="99"/>
        <v>#DIV/0!</v>
      </c>
      <c r="AT21" s="32" t="e">
        <f>$B21*#REF!</f>
        <v>#REF!</v>
      </c>
      <c r="AU21" s="32" t="e">
        <f>$B$72/AU$72*$B21*#REF!</f>
        <v>#DIV/0!</v>
      </c>
      <c r="AV21" s="32" t="e">
        <f>$B21*#REF!</f>
        <v>#REF!</v>
      </c>
      <c r="AW21" s="33" t="e">
        <f t="shared" si="103"/>
        <v>#DIV/0!</v>
      </c>
      <c r="AX21" s="32" t="e">
        <f>$B21*#REF!</f>
        <v>#REF!</v>
      </c>
      <c r="AY21" s="32" t="e">
        <f>$B$72/AY$72*$B21*#REF!</f>
        <v>#DIV/0!</v>
      </c>
      <c r="AZ21" s="34" t="e">
        <f>$B21*#REF!</f>
        <v>#REF!</v>
      </c>
      <c r="BA21" s="33" t="e">
        <f t="shared" si="58"/>
        <v>#DIV/0!</v>
      </c>
      <c r="BB21" s="32" t="e">
        <f>$B21*#REF!</f>
        <v>#REF!</v>
      </c>
      <c r="BC21" s="32" t="e">
        <f>$B$72/BC$72*$B21*#REF!</f>
        <v>#DIV/0!</v>
      </c>
      <c r="BD21" s="34" t="e">
        <f>$B21*#REF!</f>
        <v>#REF!</v>
      </c>
      <c r="BE21" s="32" t="e">
        <f t="shared" ca="1" si="110"/>
        <v>#REF!</v>
      </c>
      <c r="BF21" s="32" t="e">
        <f>$B21*#REF!</f>
        <v>#REF!</v>
      </c>
      <c r="BG21" s="32" t="e">
        <f ca="1">$B$72/BG3*$B21*#REF!</f>
        <v>#REF!</v>
      </c>
      <c r="BH21" s="32" t="e">
        <f>$B21*#REF!</f>
        <v>#REF!</v>
      </c>
      <c r="BI21" s="33" t="e">
        <f t="shared" ca="1" si="113"/>
        <v>#REF!</v>
      </c>
      <c r="BJ21" s="32" t="e">
        <f>$B21*#REF!</f>
        <v>#REF!</v>
      </c>
      <c r="BK21" s="32" t="e">
        <f ca="1">$B$72/BK3*$B21*#REF!</f>
        <v>#REF!</v>
      </c>
      <c r="BL21" s="34" t="e">
        <f>$B21*#REF!</f>
        <v>#REF!</v>
      </c>
      <c r="BM21" s="32" t="e">
        <f t="shared" ca="1" si="116"/>
        <v>#REF!</v>
      </c>
      <c r="BN21" s="32" t="e">
        <f>$B21*#REF!</f>
        <v>#REF!</v>
      </c>
      <c r="BO21" s="32" t="e">
        <f ca="1">$B$72/BO3*$B21*#REF!</f>
        <v>#REF!</v>
      </c>
      <c r="BP21" s="32" t="e">
        <f>$B21*#REF!</f>
        <v>#REF!</v>
      </c>
      <c r="BQ21" s="33" t="e">
        <f t="shared" ca="1" si="119"/>
        <v>#REF!</v>
      </c>
      <c r="BR21" s="32" t="e">
        <f>$B21*#REF!</f>
        <v>#REF!</v>
      </c>
      <c r="BS21" s="32" t="e">
        <f ca="1">$B$72/BS3*$B21*#REF!</f>
        <v>#REF!</v>
      </c>
      <c r="BT21" s="34" t="e">
        <f>$B21*#REF!</f>
        <v>#REF!</v>
      </c>
      <c r="BU21" s="32" t="e">
        <f t="shared" ca="1" si="122"/>
        <v>#REF!</v>
      </c>
      <c r="BV21" s="32" t="e">
        <f>$B21*#REF!</f>
        <v>#REF!</v>
      </c>
      <c r="BW21" s="32" t="e">
        <f ca="1">$B$72/BW3*$B21*#REF!</f>
        <v>#REF!</v>
      </c>
      <c r="BX21" s="32" t="e">
        <f>$B21*#REF!</f>
        <v>#REF!</v>
      </c>
      <c r="BY21" s="33" t="e">
        <f t="shared" ca="1" si="125"/>
        <v>#REF!</v>
      </c>
      <c r="BZ21" s="32" t="e">
        <f>$B21*#REF!</f>
        <v>#REF!</v>
      </c>
      <c r="CA21" s="32" t="e">
        <f ca="1">$B$72/CA3*$B21*#REF!</f>
        <v>#REF!</v>
      </c>
      <c r="CB21" s="34" t="e">
        <f>$B21*#REF!</f>
        <v>#REF!</v>
      </c>
      <c r="CC21" s="32" t="e">
        <f t="shared" ca="1" si="128"/>
        <v>#REF!</v>
      </c>
      <c r="CD21" s="32" t="e">
        <f>$B21*#REF!</f>
        <v>#REF!</v>
      </c>
      <c r="CE21" s="32" t="e">
        <f ca="1">$B$72/CE3*$B21*#REF!</f>
        <v>#REF!</v>
      </c>
      <c r="CF21" s="32" t="e">
        <f>$B21*#REF!</f>
        <v>#REF!</v>
      </c>
      <c r="CG21" s="32" t="e">
        <f>$B21*#REF!</f>
        <v>#REF!</v>
      </c>
      <c r="CH21" s="33" t="e">
        <f t="shared" ref="CH21:CM24" si="1001">$AA21*#REF!</f>
        <v>#REF!</v>
      </c>
      <c r="CI21" s="32" t="e">
        <f t="shared" ref="CI21:CN24" si="1002">$AA21*#REF!</f>
        <v>#REF!</v>
      </c>
      <c r="CJ21" s="32" t="e">
        <f t="shared" ref="CJ21:CO24" si="1003">$AA21*#REF!</f>
        <v>#REF!</v>
      </c>
      <c r="CK21" s="32" t="e">
        <f t="shared" ref="CK21:CP24" si="1004">$AA21*#REF!</f>
        <v>#REF!</v>
      </c>
      <c r="CL21" s="32" t="e">
        <f t="shared" ref="CL21:CQ24" si="1005">$AA21*#REF!</f>
        <v>#REF!</v>
      </c>
      <c r="CM21" s="34" t="e">
        <f t="shared" ref="CM21:CR24" si="1006">$AA21*#REF!</f>
        <v>#REF!</v>
      </c>
      <c r="CN21" s="32" t="e">
        <f t="shared" ca="1" si="138"/>
        <v>#REF!</v>
      </c>
      <c r="CO21" s="32" t="e">
        <f>$B21*#REF!</f>
        <v>#REF!</v>
      </c>
      <c r="CP21" s="32" t="e">
        <f ca="1">$B$72/CP3*$AA21*#REF!</f>
        <v>#REF!</v>
      </c>
      <c r="CQ21" s="32" t="e">
        <f>$AA21*#REF!</f>
        <v>#REF!</v>
      </c>
      <c r="CR21" s="33" t="e">
        <f t="shared" ca="1" si="53"/>
        <v>#REF!</v>
      </c>
      <c r="CS21" s="32" t="e">
        <f>$B21*#REF!</f>
        <v>#REF!</v>
      </c>
      <c r="CT21" s="32" t="e">
        <f ca="1">$B$72/CT3*$AA21*#REF!</f>
        <v>#REF!</v>
      </c>
      <c r="CU21" s="34" t="e">
        <f>$AA21*#REF!</f>
        <v>#REF!</v>
      </c>
      <c r="CV21" s="32" t="e">
        <f t="shared" ca="1" si="54"/>
        <v>#REF!</v>
      </c>
      <c r="CW21" s="32" t="e">
        <f>$B21*#REF!</f>
        <v>#REF!</v>
      </c>
      <c r="CX21" s="32" t="e">
        <f ca="1">$B$72/CX3*$AA21*#REF!</f>
        <v>#REF!</v>
      </c>
      <c r="CY21" s="32" t="e">
        <f>$AA21*#REF!</f>
        <v>#REF!</v>
      </c>
      <c r="CZ21" s="33" t="e">
        <f t="shared" ca="1" si="55"/>
        <v>#REF!</v>
      </c>
      <c r="DA21" s="32" t="e">
        <f>$B21*#REF!</f>
        <v>#REF!</v>
      </c>
      <c r="DB21" s="32" t="e">
        <f ca="1">$B$72/DB3*$AA21*#REF!</f>
        <v>#REF!</v>
      </c>
      <c r="DC21" s="34" t="e">
        <f>$AA21*#REF!</f>
        <v>#REF!</v>
      </c>
      <c r="DD21" s="32" t="e">
        <f t="shared" ca="1" si="56"/>
        <v>#REF!</v>
      </c>
      <c r="DE21" s="32" t="e">
        <f>$B21*#REF!</f>
        <v>#REF!</v>
      </c>
      <c r="DF21" s="32" t="e">
        <f ca="1">$B$72/DF3*$AA21*#REF!</f>
        <v>#REF!</v>
      </c>
      <c r="DG21" s="34" t="e">
        <f>$AA21*#REF!</f>
        <v>#REF!</v>
      </c>
      <c r="DH21" s="32" t="e">
        <f t="shared" ca="1" si="57"/>
        <v>#REF!</v>
      </c>
      <c r="DI21" s="32" t="e">
        <f>$B21*#REF!</f>
        <v>#REF!</v>
      </c>
      <c r="DJ21" s="32" t="e">
        <f ca="1">$B$72/DJ3*$AA21*#REF!</f>
        <v>#REF!</v>
      </c>
      <c r="DK21" s="32" t="e">
        <f>$AA21*#REF!</f>
        <v>#REF!</v>
      </c>
      <c r="DL21" s="33" t="e">
        <f t="shared" ref="DL21:DM24" si="1007">$B21*#REF!</f>
        <v>#REF!</v>
      </c>
      <c r="DM21" s="32" t="e">
        <f t="shared" ref="DM21:DN24" si="1008">$B21*#REF!</f>
        <v>#REF!</v>
      </c>
      <c r="DN21" s="32" t="e">
        <f t="shared" ref="DN21:DW24" si="1009">$B21*#REF!</f>
        <v>#REF!</v>
      </c>
      <c r="DO21" s="32" t="e">
        <f t="shared" ref="DO21:DX24" si="1010">$B21*#REF!</f>
        <v>#REF!</v>
      </c>
      <c r="DP21" s="32" t="e">
        <f t="shared" ref="DP21:DY24" si="1011">$B21*#REF!</f>
        <v>#REF!</v>
      </c>
      <c r="DQ21" s="32" t="e">
        <f t="shared" ref="DQ21:DZ24" si="1012">$B21*#REF!</f>
        <v>#REF!</v>
      </c>
      <c r="DR21" s="32" t="e">
        <f t="shared" ref="DR21:EA24" si="1013">$B21*#REF!</f>
        <v>#REF!</v>
      </c>
      <c r="DS21" s="32" t="e">
        <f t="shared" ref="DS21:EB24" si="1014">$B21*#REF!</f>
        <v>#REF!</v>
      </c>
      <c r="DT21" s="32" t="e">
        <f t="shared" ref="DT21:EC24" si="1015">$B21*#REF!</f>
        <v>#REF!</v>
      </c>
      <c r="DU21" s="32" t="e">
        <f t="shared" ref="DU21:ED24" si="1016">$B21*#REF!</f>
        <v>#REF!</v>
      </c>
      <c r="DV21" s="32" t="e">
        <f t="shared" ref="DV21:EE24" si="1017">$B21*#REF!</f>
        <v>#REF!</v>
      </c>
      <c r="DW21" s="34" t="e">
        <f t="shared" ref="DW21:EE24" si="1018">$B21*#REF!</f>
        <v>#REF!</v>
      </c>
      <c r="DX21" s="32" t="e">
        <f t="shared" ca="1" si="163"/>
        <v>#REF!</v>
      </c>
      <c r="DY21" s="32" t="e">
        <f>$B21*#REF!</f>
        <v>#REF!</v>
      </c>
      <c r="DZ21" s="32" t="e">
        <f ca="1">$B$72/DZ3*$B21*#REF!</f>
        <v>#REF!</v>
      </c>
      <c r="EA21" s="34" t="e">
        <f>$B21*#REF!</f>
        <v>#REF!</v>
      </c>
      <c r="EB21" s="34" t="e">
        <f>$AA21*#REF!</f>
        <v>#REF!</v>
      </c>
      <c r="EC21" s="32" t="e">
        <f t="shared" ref="EC21:ED24" si="1019">$B21*#REF!</f>
        <v>#REF!</v>
      </c>
      <c r="ED21" s="34" t="e">
        <f t="shared" ref="ED21:EE24" si="1020">$B21*#REF!</f>
        <v>#REF!</v>
      </c>
      <c r="EE21" s="31" t="e">
        <f>$B21*#REF!</f>
        <v>#REF!</v>
      </c>
    </row>
    <row r="22" spans="1:135" x14ac:dyDescent="0.25">
      <c r="A22" s="5" t="s">
        <v>139</v>
      </c>
      <c r="B22" s="32">
        <f>IF([1]Inputs!$E$16=1,[1]Inputs!F1223,IF([1]Inputs!$E$16=2,[1]Inputs!G1223,[1]Inputs!H1223))</f>
        <v>0</v>
      </c>
      <c r="C22" s="32" t="e">
        <f t="shared" ref="C22:N22" si="1021">$B22*#REF!</f>
        <v>#REF!</v>
      </c>
      <c r="D22" s="32" t="e">
        <f t="shared" ref="D22:O22" si="1022">$B22*#REF!</f>
        <v>#REF!</v>
      </c>
      <c r="E22" s="32" t="e">
        <f t="shared" ref="E22:P22" si="1023">$B22*#REF!</f>
        <v>#REF!</v>
      </c>
      <c r="F22" s="32" t="e">
        <f t="shared" ref="F22:Q22" si="1024">$B22*#REF!</f>
        <v>#REF!</v>
      </c>
      <c r="G22" s="32" t="e">
        <f t="shared" ref="G22:R22" si="1025">$B22*#REF!</f>
        <v>#REF!</v>
      </c>
      <c r="H22" s="32" t="e">
        <f t="shared" ref="H22:S22" si="1026">$B22*#REF!</f>
        <v>#REF!</v>
      </c>
      <c r="I22" s="32" t="e">
        <f t="shared" ref="I22:T22" si="1027">$B22*#REF!</f>
        <v>#REF!</v>
      </c>
      <c r="J22" s="32" t="e">
        <f t="shared" ref="J22:U22" si="1028">$B22*#REF!</f>
        <v>#REF!</v>
      </c>
      <c r="K22" s="32" t="e">
        <f t="shared" ref="K22:V22" si="1029">$B22*#REF!</f>
        <v>#REF!</v>
      </c>
      <c r="L22" s="32" t="e">
        <f t="shared" ref="L22:W22" si="1030">$B22*#REF!</f>
        <v>#REF!</v>
      </c>
      <c r="M22" s="32" t="e">
        <f t="shared" ref="M22:X22" si="1031">$B22*#REF!</f>
        <v>#REF!</v>
      </c>
      <c r="N22" s="32" t="e">
        <f t="shared" ref="N22:Y22" si="1032">$B22*#REF!</f>
        <v>#REF!</v>
      </c>
      <c r="O22" s="32" t="e">
        <f t="shared" ref="O22:P25" si="1033">$B22*#REF!</f>
        <v>#REF!</v>
      </c>
      <c r="P22" s="32" t="e">
        <f t="shared" ref="P22:Q25" si="1034">$B22*#REF!</f>
        <v>#REF!</v>
      </c>
      <c r="Q22" s="32" t="e">
        <f>$B22*#REF!</f>
        <v>#REF!</v>
      </c>
      <c r="R22" s="32" t="e">
        <f t="shared" ref="R22:R24" si="1035">$B22*#REF!</f>
        <v>#REF!</v>
      </c>
      <c r="S22" s="32">
        <f t="shared" si="183"/>
        <v>0</v>
      </c>
      <c r="T22" s="32">
        <f t="shared" si="183"/>
        <v>0</v>
      </c>
      <c r="U22" s="32">
        <f t="shared" si="183"/>
        <v>0</v>
      </c>
      <c r="V22" s="33" t="e">
        <f t="shared" ref="V22:Z25" si="1036">$B22*#REF!</f>
        <v>#REF!</v>
      </c>
      <c r="W22" s="32" t="e">
        <f t="shared" ref="W22:AA25" si="1037">$B22*#REF!</f>
        <v>#REF!</v>
      </c>
      <c r="X22" s="32" t="e">
        <f t="shared" ref="X22:AB25" si="1038">$B22*#REF!</f>
        <v>#REF!</v>
      </c>
      <c r="Y22" s="32" t="e">
        <f t="shared" ref="Y22:AC25" si="1039">$B22*#REF!</f>
        <v>#REF!</v>
      </c>
      <c r="Z22" s="34" t="e">
        <f t="shared" ref="Z22:AD25" si="1040">$B22*#REF!</f>
        <v>#REF!</v>
      </c>
      <c r="AA22" s="32">
        <f>IF([1]Inputs!$E$16=1,[1]Inputs!I1223,IF([1]Inputs!$E$16=2,[1]Inputs!J1223,[1]Inputs!K1223))</f>
        <v>0</v>
      </c>
      <c r="AB22" s="32" t="e">
        <f t="shared" ref="AB22:AG25" si="1041">$AA22*#REF!</f>
        <v>#REF!</v>
      </c>
      <c r="AC22" s="32" t="e">
        <f t="shared" ref="AC22:AH25" si="1042">$AA22*#REF!</f>
        <v>#REF!</v>
      </c>
      <c r="AD22" s="32" t="e">
        <f t="shared" ref="AD22:AI25" si="1043">$AA22*#REF!</f>
        <v>#REF!</v>
      </c>
      <c r="AE22" s="32" t="e">
        <f t="shared" ref="AE22:AJ25" si="1044">$AA22*#REF!</f>
        <v>#REF!</v>
      </c>
      <c r="AF22" s="32" t="e">
        <f t="shared" ref="AF22:AK25" si="1045">$AA22*#REF!</f>
        <v>#REF!</v>
      </c>
      <c r="AG22" s="32" t="e">
        <f t="shared" ref="AG22:AL25" si="1046">$AA22*#REF!</f>
        <v>#REF!</v>
      </c>
      <c r="AH22" s="33" t="e">
        <f t="shared" ref="AH22:AQ25" si="1047">$B22*#REF!</f>
        <v>#REF!</v>
      </c>
      <c r="AI22" s="32" t="e">
        <f t="shared" ref="AI22:AR25" si="1048">$B22*#REF!</f>
        <v>#REF!</v>
      </c>
      <c r="AJ22" s="32" t="e">
        <f t="shared" ref="AJ22:AS25" si="1049">$B22*#REF!</f>
        <v>#REF!</v>
      </c>
      <c r="AK22" s="32" t="e">
        <f t="shared" ref="AK22:AT25" si="1050">$B22*#REF!</f>
        <v>#REF!</v>
      </c>
      <c r="AL22" s="32" t="e">
        <f t="shared" ref="AL22:AU25" si="1051">$B22*#REF!</f>
        <v>#REF!</v>
      </c>
      <c r="AM22" s="32" t="e">
        <f t="shared" ref="AM22:AV25" si="1052">$B22*#REF!</f>
        <v>#REF!</v>
      </c>
      <c r="AN22" s="32" t="e">
        <f t="shared" ref="AN22:AW25" si="1053">$B22*#REF!</f>
        <v>#REF!</v>
      </c>
      <c r="AO22" s="32" t="e">
        <f t="shared" ref="AO22:AX25" si="1054">$B22*#REF!</f>
        <v>#REF!</v>
      </c>
      <c r="AP22" s="32" t="e">
        <f t="shared" ref="AP22:AY25" si="1055">$B22*#REF!</f>
        <v>#REF!</v>
      </c>
      <c r="AQ22" s="32" t="e">
        <f t="shared" ref="AQ22:AZ25" si="1056">$B22*#REF!</f>
        <v>#REF!</v>
      </c>
      <c r="AR22" s="34" t="e">
        <f>$B22*#REF!</f>
        <v>#REF!</v>
      </c>
      <c r="AS22" s="32" t="e">
        <f t="shared" si="99"/>
        <v>#DIV/0!</v>
      </c>
      <c r="AT22" s="32" t="e">
        <f>$B22*#REF!</f>
        <v>#REF!</v>
      </c>
      <c r="AU22" s="32" t="e">
        <f>$B$72/AU$72*$B22*#REF!</f>
        <v>#DIV/0!</v>
      </c>
      <c r="AV22" s="32" t="e">
        <f>$B22*#REF!</f>
        <v>#REF!</v>
      </c>
      <c r="AW22" s="33" t="e">
        <f t="shared" si="103"/>
        <v>#DIV/0!</v>
      </c>
      <c r="AX22" s="32" t="e">
        <f>$B22*#REF!</f>
        <v>#REF!</v>
      </c>
      <c r="AY22" s="32" t="e">
        <f>$B$72/AY$72*$B22*#REF!</f>
        <v>#DIV/0!</v>
      </c>
      <c r="AZ22" s="34" t="e">
        <f>$B22*#REF!</f>
        <v>#REF!</v>
      </c>
      <c r="BA22" s="33" t="e">
        <f t="shared" si="58"/>
        <v>#DIV/0!</v>
      </c>
      <c r="BB22" s="32" t="e">
        <f>$B22*#REF!</f>
        <v>#REF!</v>
      </c>
      <c r="BC22" s="32" t="e">
        <f>$B$72/BC$72*$B22*#REF!</f>
        <v>#DIV/0!</v>
      </c>
      <c r="BD22" s="34" t="e">
        <f>$B22*#REF!</f>
        <v>#REF!</v>
      </c>
      <c r="BE22" s="32" t="e">
        <f t="shared" ca="1" si="110"/>
        <v>#REF!</v>
      </c>
      <c r="BF22" s="32" t="e">
        <f>$B22*#REF!</f>
        <v>#REF!</v>
      </c>
      <c r="BG22" s="32" t="e">
        <f ca="1">$B$72/BG3*$B22*#REF!</f>
        <v>#REF!</v>
      </c>
      <c r="BH22" s="32" t="e">
        <f>$B22*#REF!</f>
        <v>#REF!</v>
      </c>
      <c r="BI22" s="33" t="e">
        <f t="shared" ca="1" si="113"/>
        <v>#REF!</v>
      </c>
      <c r="BJ22" s="32" t="e">
        <f>$B22*#REF!</f>
        <v>#REF!</v>
      </c>
      <c r="BK22" s="32" t="e">
        <f ca="1">$B$72/BK3*$B22*#REF!</f>
        <v>#REF!</v>
      </c>
      <c r="BL22" s="34" t="e">
        <f>$B22*#REF!</f>
        <v>#REF!</v>
      </c>
      <c r="BM22" s="32" t="e">
        <f t="shared" ca="1" si="116"/>
        <v>#REF!</v>
      </c>
      <c r="BN22" s="32" t="e">
        <f>$B22*#REF!</f>
        <v>#REF!</v>
      </c>
      <c r="BO22" s="32" t="e">
        <f ca="1">$B$72/BO3*$B22*#REF!</f>
        <v>#REF!</v>
      </c>
      <c r="BP22" s="32" t="e">
        <f>$B22*#REF!</f>
        <v>#REF!</v>
      </c>
      <c r="BQ22" s="33" t="e">
        <f t="shared" ca="1" si="119"/>
        <v>#REF!</v>
      </c>
      <c r="BR22" s="32" t="e">
        <f>$B22*#REF!</f>
        <v>#REF!</v>
      </c>
      <c r="BS22" s="32" t="e">
        <f ca="1">$B$72/BS3*$B22*#REF!</f>
        <v>#REF!</v>
      </c>
      <c r="BT22" s="34" t="e">
        <f>$B22*#REF!</f>
        <v>#REF!</v>
      </c>
      <c r="BU22" s="32" t="e">
        <f t="shared" ca="1" si="122"/>
        <v>#REF!</v>
      </c>
      <c r="BV22" s="32" t="e">
        <f>$B22*#REF!</f>
        <v>#REF!</v>
      </c>
      <c r="BW22" s="32" t="e">
        <f ca="1">$B$72/BW3*$B22*#REF!</f>
        <v>#REF!</v>
      </c>
      <c r="BX22" s="32" t="e">
        <f>$B22*#REF!</f>
        <v>#REF!</v>
      </c>
      <c r="BY22" s="33" t="e">
        <f t="shared" ca="1" si="125"/>
        <v>#REF!</v>
      </c>
      <c r="BZ22" s="32" t="e">
        <f>$B22*#REF!</f>
        <v>#REF!</v>
      </c>
      <c r="CA22" s="32" t="e">
        <f ca="1">$B$72/CA3*$B22*#REF!</f>
        <v>#REF!</v>
      </c>
      <c r="CB22" s="34" t="e">
        <f>$B22*#REF!</f>
        <v>#REF!</v>
      </c>
      <c r="CC22" s="32" t="e">
        <f t="shared" ca="1" si="128"/>
        <v>#REF!</v>
      </c>
      <c r="CD22" s="32" t="e">
        <f>$B22*#REF!</f>
        <v>#REF!</v>
      </c>
      <c r="CE22" s="32" t="e">
        <f ca="1">$B$72/CE3*$B22*#REF!</f>
        <v>#REF!</v>
      </c>
      <c r="CF22" s="32" t="e">
        <f>$B22*#REF!</f>
        <v>#REF!</v>
      </c>
      <c r="CG22" s="32" t="e">
        <f>$B22*#REF!</f>
        <v>#REF!</v>
      </c>
      <c r="CH22" s="33" t="e">
        <f t="shared" ref="CH22:CM25" si="1057">$AA22*#REF!</f>
        <v>#REF!</v>
      </c>
      <c r="CI22" s="32" t="e">
        <f t="shared" ref="CI22:CN25" si="1058">$AA22*#REF!</f>
        <v>#REF!</v>
      </c>
      <c r="CJ22" s="32" t="e">
        <f t="shared" ref="CJ22:CO25" si="1059">$AA22*#REF!</f>
        <v>#REF!</v>
      </c>
      <c r="CK22" s="32" t="e">
        <f t="shared" ref="CK22:CP25" si="1060">$AA22*#REF!</f>
        <v>#REF!</v>
      </c>
      <c r="CL22" s="32" t="e">
        <f t="shared" ref="CL22:CQ25" si="1061">$AA22*#REF!</f>
        <v>#REF!</v>
      </c>
      <c r="CM22" s="34" t="e">
        <f t="shared" ref="CM22:CR25" si="1062">$AA22*#REF!</f>
        <v>#REF!</v>
      </c>
      <c r="CN22" s="32" t="e">
        <f t="shared" ca="1" si="138"/>
        <v>#REF!</v>
      </c>
      <c r="CO22" s="32" t="e">
        <f>$B22*#REF!</f>
        <v>#REF!</v>
      </c>
      <c r="CP22" s="32" t="e">
        <f ca="1">$B$72/CP3*$AA22*#REF!</f>
        <v>#REF!</v>
      </c>
      <c r="CQ22" s="32" t="e">
        <f>$AA22*#REF!</f>
        <v>#REF!</v>
      </c>
      <c r="CR22" s="33" t="e">
        <f t="shared" ca="1" si="53"/>
        <v>#REF!</v>
      </c>
      <c r="CS22" s="32" t="e">
        <f>$B22*#REF!</f>
        <v>#REF!</v>
      </c>
      <c r="CT22" s="32" t="e">
        <f ca="1">$B$72/CT3*$AA22*#REF!</f>
        <v>#REF!</v>
      </c>
      <c r="CU22" s="34" t="e">
        <f>$AA22*#REF!</f>
        <v>#REF!</v>
      </c>
      <c r="CV22" s="32" t="e">
        <f t="shared" ca="1" si="54"/>
        <v>#REF!</v>
      </c>
      <c r="CW22" s="32" t="e">
        <f>$B22*#REF!</f>
        <v>#REF!</v>
      </c>
      <c r="CX22" s="32" t="e">
        <f ca="1">$B$72/CX3*$AA22*#REF!</f>
        <v>#REF!</v>
      </c>
      <c r="CY22" s="32" t="e">
        <f>$AA22*#REF!</f>
        <v>#REF!</v>
      </c>
      <c r="CZ22" s="33" t="e">
        <f t="shared" ca="1" si="55"/>
        <v>#REF!</v>
      </c>
      <c r="DA22" s="32" t="e">
        <f>$B22*#REF!</f>
        <v>#REF!</v>
      </c>
      <c r="DB22" s="32" t="e">
        <f ca="1">$B$72/DB3*$AA22*#REF!</f>
        <v>#REF!</v>
      </c>
      <c r="DC22" s="34" t="e">
        <f>$AA22*#REF!</f>
        <v>#REF!</v>
      </c>
      <c r="DD22" s="32" t="e">
        <f t="shared" ca="1" si="56"/>
        <v>#REF!</v>
      </c>
      <c r="DE22" s="32" t="e">
        <f>$B22*#REF!</f>
        <v>#REF!</v>
      </c>
      <c r="DF22" s="32" t="e">
        <f ca="1">$B$72/DF3*$AA22*#REF!</f>
        <v>#REF!</v>
      </c>
      <c r="DG22" s="34" t="e">
        <f>$AA22*#REF!</f>
        <v>#REF!</v>
      </c>
      <c r="DH22" s="32" t="e">
        <f t="shared" ca="1" si="57"/>
        <v>#REF!</v>
      </c>
      <c r="DI22" s="32" t="e">
        <f>$B22*#REF!</f>
        <v>#REF!</v>
      </c>
      <c r="DJ22" s="32" t="e">
        <f ca="1">$B$72/DJ3*$AA22*#REF!</f>
        <v>#REF!</v>
      </c>
      <c r="DK22" s="32" t="e">
        <f>$AA22*#REF!</f>
        <v>#REF!</v>
      </c>
      <c r="DL22" s="33" t="e">
        <f t="shared" ref="DL22:DM25" si="1063">$B22*#REF!</f>
        <v>#REF!</v>
      </c>
      <c r="DM22" s="32" t="e">
        <f t="shared" ref="DM22:DN25" si="1064">$B22*#REF!</f>
        <v>#REF!</v>
      </c>
      <c r="DN22" s="32" t="e">
        <f t="shared" ref="DN22:DW25" si="1065">$B22*#REF!</f>
        <v>#REF!</v>
      </c>
      <c r="DO22" s="32" t="e">
        <f t="shared" ref="DO22:DX25" si="1066">$B22*#REF!</f>
        <v>#REF!</v>
      </c>
      <c r="DP22" s="32" t="e">
        <f t="shared" ref="DP22:DY25" si="1067">$B22*#REF!</f>
        <v>#REF!</v>
      </c>
      <c r="DQ22" s="32" t="e">
        <f t="shared" ref="DQ22:DZ25" si="1068">$B22*#REF!</f>
        <v>#REF!</v>
      </c>
      <c r="DR22" s="32" t="e">
        <f t="shared" ref="DR22:EA25" si="1069">$B22*#REF!</f>
        <v>#REF!</v>
      </c>
      <c r="DS22" s="32" t="e">
        <f t="shared" ref="DS22:EB25" si="1070">$B22*#REF!</f>
        <v>#REF!</v>
      </c>
      <c r="DT22" s="32" t="e">
        <f t="shared" ref="DT22:EC25" si="1071">$B22*#REF!</f>
        <v>#REF!</v>
      </c>
      <c r="DU22" s="32" t="e">
        <f t="shared" ref="DU22:ED25" si="1072">$B22*#REF!</f>
        <v>#REF!</v>
      </c>
      <c r="DV22" s="32" t="e">
        <f t="shared" ref="DV22:EE25" si="1073">$B22*#REF!</f>
        <v>#REF!</v>
      </c>
      <c r="DW22" s="34" t="e">
        <f t="shared" ref="DW22:EE25" si="1074">$B22*#REF!</f>
        <v>#REF!</v>
      </c>
      <c r="DX22" s="32" t="e">
        <f t="shared" ca="1" si="163"/>
        <v>#REF!</v>
      </c>
      <c r="DY22" s="32" t="e">
        <f>$B22*#REF!</f>
        <v>#REF!</v>
      </c>
      <c r="DZ22" s="32" t="e">
        <f ca="1">$B$72/DZ3*$B22*#REF!</f>
        <v>#REF!</v>
      </c>
      <c r="EA22" s="34" t="e">
        <f>$B22*#REF!</f>
        <v>#REF!</v>
      </c>
      <c r="EB22" s="34" t="e">
        <f>$AA22*#REF!</f>
        <v>#REF!</v>
      </c>
      <c r="EC22" s="32" t="e">
        <f t="shared" ref="EC22:ED25" si="1075">$B22*#REF!</f>
        <v>#REF!</v>
      </c>
      <c r="ED22" s="34" t="e">
        <f t="shared" ref="ED22:EE25" si="1076">$B22*#REF!</f>
        <v>#REF!</v>
      </c>
      <c r="EE22" s="31" t="e">
        <f>$B22*#REF!</f>
        <v>#REF!</v>
      </c>
    </row>
    <row r="23" spans="1:135" x14ac:dyDescent="0.25">
      <c r="A23" s="5" t="s">
        <v>140</v>
      </c>
      <c r="B23" s="20" t="e">
        <f>(([1]Inputs!$E$96*[1]Fuel_Specs!$E$16*[1]Fuel_Specs!$F$16+(1-[1]Inputs!$E$96)*[1]Fuel_Specs!$E$15*[1]Fuel_Specs!$F$15)/B3-((B10+B11)*[1]Fuel_Specs!$B$164+B12*[1]Fuel_Specs!$B$165+B21*[1]Fuel_Specs!$B$166))/[1]Fuel_Specs!$B$167</f>
        <v>#DIV/0!</v>
      </c>
      <c r="C23" s="20" t="e">
        <f>([1]Fuel_Specs!$E$17*[1]Fuel_Specs!$F$17/C3-((C10+C11)*[1]Fuel_Specs!$B$164+C12*[1]Fuel_Specs!$B$165+C21*[1]Fuel_Specs!$B$166))/[1]Fuel_Specs!$B$167</f>
        <v>#REF!</v>
      </c>
      <c r="D23" s="20" t="e">
        <f>(([1]Fuel_Specs!$E$16/[1]Fuel_Specs!$B$16*D4*[1]Fuel_Specs!$F$16*$C$35*(1-$C$7)*[1]Fuel_Specs!$B$16/((1-$C$35)*(1-$C$7)*[1]Fuel_Specs!$B$15+$C$35*(1-$C$7)*[1]Fuel_Specs!$B$16+$C$7*[1]Fuel_Specs!$B$32))+([1]Fuel_Specs!$E$15/[1]Fuel_Specs!$B$15*D4*[1]Fuel_Specs!$F$15*(1-$C$35)*(1-$C$7)*[1]Fuel_Specs!$B$15/((1-$C$35)*(1-$C$7)*[1]Fuel_Specs!$B$15+$C$35*(1-$C$7)*[1]Fuel_Specs!$B$16+$C$7*[1]Fuel_Specs!$B$32))+([1]Fuel_Specs!$E$32/[1]Fuel_Specs!$B$32*D4*[1]Fuel_Specs!$F$32*$C$7*[1]Fuel_Specs!$B$32/((1-$C$35)*(1-$C$7)*[1]Fuel_Specs!$B$15+$C$35*(1-$C$7)*[1]Fuel_Specs!$B$16+$C$7*[1]Fuel_Specs!$B$32))-((D10+D11)*[1]Fuel_Specs!$B$164+D12*[1]Fuel_Specs!$B$165+D21*[1]Fuel_Specs!$B$166))/[1]Fuel_Specs!$B$167</f>
        <v>#REF!</v>
      </c>
      <c r="E23" s="20" t="e">
        <f>([1]Fuel_Specs!$E$81/[1]Fuel_Specs!$B$81*E4*[1]Fuel_Specs!$F$81-((E10+E11)*[1]Fuel_Specs!$B$164+E12*[1]Fuel_Specs!$B$165+E21*[1]Fuel_Specs!$B$166))/[1]Fuel_Specs!$B$167</f>
        <v>#REF!</v>
      </c>
      <c r="F23" s="20" t="e">
        <f>([1]Fuel_Specs!$E$81/[1]Fuel_Specs!$B$81*F4*[1]Fuel_Specs!$F$81-((F10+F11)*[1]Fuel_Specs!$B$164+F12*[1]Fuel_Specs!$B$165+F21*[1]Fuel_Specs!$B$166))/[1]Fuel_Specs!$B$167</f>
        <v>#REF!</v>
      </c>
      <c r="G23" s="20" t="e">
        <f>([1]Fuel_Specs!$E$37/[1]Fuel_Specs!$B$37*G4*[1]Fuel_Specs!$F$37-((G10+G11)*[1]Fuel_Specs!$B$164+G12*[1]Fuel_Specs!$B$165+G21*[1]Fuel_Specs!$B$166))/[1]Fuel_Specs!$B$167</f>
        <v>#REF!</v>
      </c>
      <c r="H23" s="20" t="e">
        <f>([1]Fuel_Specs!$E$36/[1]Fuel_Specs!$B$36*H4*[1]Fuel_Specs!$F$36-((H10+H11)*[1]Fuel_Specs!$B$164+H12*[1]Fuel_Specs!$B$165+H21*[1]Fuel_Specs!$B$166))/[1]Fuel_Specs!$B$167</f>
        <v>#REF!</v>
      </c>
      <c r="I23" s="20" t="e">
        <f>(([1]Fuel_Specs!$E$16/[1]Fuel_Specs!$B$16*I4*[1]Fuel_Specs!$F$16*$C$34*(1-$C$5)*[1]Fuel_Specs!$B$16/((1-$C$34)*(1-$C$5)*[1]Fuel_Specs!$B$15+$C$34*(1-$C$5)*[1]Fuel_Specs!$B$16+$C$5*[1]Fuel_Specs!$B$31))+([1]Fuel_Specs!$E$15/[1]Fuel_Specs!$B$15*I4*[1]Fuel_Specs!$F$15*(1-$C$34)*(1-$C$5)*[1]Fuel_Specs!$B$15/((1-$C$34)*(1-$C$5)*[1]Fuel_Specs!$B$15+$C$34*(1-$C$5)*[1]Fuel_Specs!$B$16+$C$5*[1]Fuel_Specs!$B$31))+([1]Fuel_Specs!$E$31/[1]Fuel_Specs!$B$31*I4*[1]Fuel_Specs!$F$31*$C$5*[1]Fuel_Specs!$B$31/((1-$C$34)*(1-$C$5)*[1]Fuel_Specs!$B$15+$C$34*(1-$C$5)*[1]Fuel_Specs!$B$16+$C$5*[1]Fuel_Specs!$B$31))-((I10+I11)*[1]Fuel_Specs!$B$164+I12*[1]Fuel_Specs!$B$165+I21*[1]Fuel_Specs!$B$166))/[1]Fuel_Specs!$B$167</f>
        <v>#REF!</v>
      </c>
      <c r="J23" s="20" t="e">
        <f>(([1]Fuel_Specs!$E$16/[1]Fuel_Specs!$B$16*J4*[1]Fuel_Specs!$F$16*$C$34*(1-$C$6)*[1]Fuel_Specs!$B$16/((1-$C$34)*(1-$C$6)*[1]Fuel_Specs!$B$15+$C$34*(1-$C$6)*[1]Fuel_Specs!$B$16+$C$6*[1]Fuel_Specs!$B$31))+([1]Fuel_Specs!$E$15/[1]Fuel_Specs!$B$15*J4*[1]Fuel_Specs!$F$15*(1-$C$34)*(1-$C$6)*[1]Fuel_Specs!$B$15/((1-$C$34)*(1-$C$6)*[1]Fuel_Specs!$B$15+$C$34*(1-$C$6)*[1]Fuel_Specs!$B$16+$C$6*[1]Fuel_Specs!$B$31))+([1]Fuel_Specs!$E$31/[1]Fuel_Specs!$B$31*J4*[1]Fuel_Specs!$F$31*$C$6*[1]Fuel_Specs!$B$31/((1-$C$34)*(1-$C$6)*[1]Fuel_Specs!$B$15+$C$34*(1-$C$6)*[1]Fuel_Specs!$B$16+$C$6*[1]Fuel_Specs!$B$31))-((J10+J11)*[1]Fuel_Specs!$B$164+J12*[1]Fuel_Specs!$B$165+J21*[1]Fuel_Specs!$B$166))/[1]Fuel_Specs!$B$167</f>
        <v>#REF!</v>
      </c>
      <c r="K23" s="20" t="e">
        <f>(([1]Fuel_Specs!$E$16/[1]Fuel_Specs!$B$16*K4*[1]Fuel_Specs!$F$16*$C$36*(1-$C$8)*[1]Fuel_Specs!$B$16/((1-$C$36)*(1-$C$8)*[1]Fuel_Specs!$B$15+$C$36*(1-$C$8)*[1]Fuel_Specs!$B$16+$C$8*[1]Fuel_Specs!$B$32))+([1]Fuel_Specs!$E$15/[1]Fuel_Specs!$B$15*K4*[1]Fuel_Specs!$F$15*(1-$C$36)*(1-$C$8)*[1]Fuel_Specs!$B$15/((1-$C$36)*(1-$C$8)*[1]Fuel_Specs!$B$15+$C$36*(1-$C$8)*[1]Fuel_Specs!$B$16+$C$8*[1]Fuel_Specs!$B$32))+([1]Fuel_Specs!$E$32/[1]Fuel_Specs!$B$32*K4*[1]Fuel_Specs!$F$32*$C$8*[1]Fuel_Specs!$B$32/((1-$C$36)*(1-$C$8)*[1]Fuel_Specs!$B$15+$C$36*(1-$C$8)*[1]Fuel_Specs!$B$16+$C$8*[1]Fuel_Specs!$B$32))-((K10+K11)*[1]Fuel_Specs!$B$164+K12*[1]Fuel_Specs!$B$165+K21*[1]Fuel_Specs!$B$166))/[1]Fuel_Specs!$B$167</f>
        <v>#REF!</v>
      </c>
      <c r="L23" s="20" t="e">
        <f>(([1]Fuel_Specs!$E$16/[1]Fuel_Specs!$B$16*L4*[1]Fuel_Specs!$F$16*$C$37*(1-$C$12)*[1]Fuel_Specs!$B$16/((1-$C$37)*(1-$C$12)*[1]Fuel_Specs!$B$15+$C$37*(1-$C$12)*[1]Fuel_Specs!$B$16+$C$12*[1]Fuel_Specs!$B$33))+([1]Fuel_Specs!$E$15/[1]Fuel_Specs!$B$15*L4*[1]Fuel_Specs!$F$15*(1-$C$37)*(1-$C$12)*[1]Fuel_Specs!$B$15/((1-$C$37)*(1-$C$12)*[1]Fuel_Specs!$B$15+$C$37*(1-$C$12)*[1]Fuel_Specs!$B$16+$C$12*[1]Fuel_Specs!$B$33))+([1]Fuel_Specs!$E$33/[1]Fuel_Specs!$B$33*L4*[1]Fuel_Specs!$F$33*$C$12*[1]Fuel_Specs!$B$33/((1-$C$37)*(1-$C$12)*[1]Fuel_Specs!$B$15+$C$37*(1-$C$12)*[1]Fuel_Specs!$B$16+$C$12*[1]Fuel_Specs!$B$33))-((L10+L11)*[1]Fuel_Specs!$B$164+L12*[1]Fuel_Specs!$B$165+L21*[1]Fuel_Specs!$B$166))/[1]Fuel_Specs!$B$167</f>
        <v>#REF!</v>
      </c>
      <c r="M23" s="20" t="e">
        <f>(([1]Fuel_Specs!$E$16/[1]Fuel_Specs!$B$16*M4*[1]Fuel_Specs!$F$16*$C$36*(1-$C$9)*[1]Fuel_Specs!$B$16/((1-$C$36)*(1-$C$9)*[1]Fuel_Specs!$B$15+$C$36*(1-$C$9)*[1]Fuel_Specs!$B$16+$C$9*[1]Fuel_Specs!$B$32))+([1]Fuel_Specs!$E$15/[1]Fuel_Specs!$B$15*M4*[1]Fuel_Specs!$F$15*(1-$C$36)*(1-$C$9)*[1]Fuel_Specs!$B$15/((1-$C$36)*(1-$C$9)*[1]Fuel_Specs!$B$15+$C$36*(1-$C$9)*[1]Fuel_Specs!$B$16+$C$9*[1]Fuel_Specs!$B$32))+([1]Fuel_Specs!$E$32/[1]Fuel_Specs!$B$32*M4*[1]Fuel_Specs!$F$32*$C$9*[1]Fuel_Specs!$B$32/((1-$C$36)*(1-$C$9)*[1]Fuel_Specs!$B$15+$C$36*(1-$C$9)*[1]Fuel_Specs!$B$16+$C$9*[1]Fuel_Specs!$B$32))-((M10+M11)*[1]Fuel_Specs!$B$164+M12*[1]Fuel_Specs!$B$165+M21*[1]Fuel_Specs!$B$166))/[1]Fuel_Specs!$B$167</f>
        <v>#REF!</v>
      </c>
      <c r="N23" s="20">
        <v>0</v>
      </c>
      <c r="O23" s="20">
        <v>0</v>
      </c>
      <c r="P23" s="20" t="e">
        <f>(([1]Fuel_Specs!$E$16/[1]Fuel_Specs!$B$16*P4*[1]Fuel_Specs!$F$16*$C$40*(1-$C$16)*[1]Fuel_Specs!$B$16/((1-$C$40)*(1-$C$16)*[1]Fuel_Specs!$B$15+$C$40*(1-$C$16)*[1]Fuel_Specs!$B$16+$C$16*[1]Fuel_Specs!#REF!))+([1]Fuel_Specs!$E$15/[1]Fuel_Specs!$B$15*P4*[1]Fuel_Specs!$F$15*(1-$C$40)*(1-$C$16)*[1]Fuel_Specs!$B$15/((1-$C$40)*(1-$C$16)*[1]Fuel_Specs!$B$15+$C$40*(1-$C$16)*[1]Fuel_Specs!$B$16+$C$16*[1]Fuel_Specs!#REF!))+([1]Fuel_Specs!#REF!/[1]Fuel_Specs!#REF!*P4*[1]Fuel_Specs!#REF!*$C$16*[1]Fuel_Specs!#REF!/((1-$C$40)*(1-$C$16)*[1]Fuel_Specs!$B$15+$C$40*(1-$C$16)*[1]Fuel_Specs!$B$16+$C$16*[1]Fuel_Specs!#REF!))-((P10+P11)*[1]Fuel_Specs!$B$164+P12*[1]Fuel_Specs!$B$165+P21*[1]Fuel_Specs!$B$166))/[1]Fuel_Specs!$B$167</f>
        <v>#REF!</v>
      </c>
      <c r="Q23" s="20" t="e">
        <f>(([1]Fuel_Specs!$E$16/[1]Fuel_Specs!$B$16*Q4*[1]Fuel_Specs!$F$16*$C$40*(1-$C$16)*[1]Fuel_Specs!$B$16/((1-$C$40)*(1-$C$16)*[1]Fuel_Specs!$B$15+$C$40*(1-$C$16)*[1]Fuel_Specs!$B$16+$C$16*[1]Fuel_Specs!#REF!))+([1]Fuel_Specs!$E$15/[1]Fuel_Specs!$B$15*Q4*[1]Fuel_Specs!$F$15*(1-$C$40)*(1-$C$16)*[1]Fuel_Specs!$B$15/((1-$C$40)*(1-$C$16)*[1]Fuel_Specs!$B$15+$C$40*(1-$C$16)*[1]Fuel_Specs!$B$16+$C$16*[1]Fuel_Specs!#REF!))+([1]Fuel_Specs!#REF!/[1]Fuel_Specs!#REF!*Q4*[1]Fuel_Specs!#REF!*$C$16*[1]Fuel_Specs!#REF!/((1-$C$40)*(1-$C$16)*[1]Fuel_Specs!$B$15+$C$40*(1-$C$16)*[1]Fuel_Specs!$B$16+$C$16*[1]Fuel_Specs!#REF!))-((Q10+Q11)*[1]Fuel_Specs!$B$164+Q12*[1]Fuel_Specs!$B$165+Q21*[1]Fuel_Specs!$B$166))/[1]Fuel_Specs!$B$167</f>
        <v>#REF!</v>
      </c>
      <c r="R23" s="20" t="e">
        <f>(([1]Fuel_Specs!$E$16/[1]Fuel_Specs!$B$16*R4*[1]Fuel_Specs!$F$16*$C$40*(1-$C$16)*[1]Fuel_Specs!$B$16/((1-$C$40)*(1-$C$16)*[1]Fuel_Specs!$B$15+$C$40*(1-$C$16)*[1]Fuel_Specs!$B$16+$C$16*[1]Fuel_Specs!#REF!))+([1]Fuel_Specs!$E$15/[1]Fuel_Specs!$B$15*R4*[1]Fuel_Specs!$F$15*(1-$C$40)*(1-$C$16)*[1]Fuel_Specs!$B$15/((1-$C$40)*(1-$C$16)*[1]Fuel_Specs!$B$15+$C$40*(1-$C$16)*[1]Fuel_Specs!$B$16+$C$16*[1]Fuel_Specs!#REF!))+([1]Fuel_Specs!#REF!/[1]Fuel_Specs!#REF!*R4*[1]Fuel_Specs!#REF!*$C$16*[1]Fuel_Specs!#REF!/((1-$C$40)*(1-$C$16)*[1]Fuel_Specs!$B$15+$C$40*(1-$C$16)*[1]Fuel_Specs!$B$16+$C$16*[1]Fuel_Specs!#REF!))-((R10+R11)*[1]Fuel_Specs!$B$164+R12*[1]Fuel_Specs!$B$165+R21*[1]Fuel_Specs!$B$166))/[1]Fuel_Specs!$B$167</f>
        <v>#REF!</v>
      </c>
      <c r="S23" s="20" t="e">
        <f>(([1]Inputs!$E$96*[1]Fuel_Specs!$E$16*[1]Fuel_Specs!$F$16+(1-[1]Inputs!$E$96)*[1]Fuel_Specs!$E$15*[1]Fuel_Specs!$F$15)/S3-((S10+S11)*[1]Fuel_Specs!$B$164+S12*[1]Fuel_Specs!$B$165+S21*[1]Fuel_Specs!$B$166))/[1]Fuel_Specs!$B$167</f>
        <v>#REF!</v>
      </c>
      <c r="T23" s="20" t="e">
        <f>(([1]Fuel_Specs!$E$16/[1]Fuel_Specs!$B$16*T4*[1]Fuel_Specs!$F$16*$C$38*(1-$C$10)*[1]Fuel_Specs!$B$16/((1-$C$38)*(1-$C$10)*[1]Fuel_Specs!$B$15+$C$38*(1-$C$10)*[1]Fuel_Specs!$B$16+$C$10*[1]Fuel_Specs!$B$32))+([1]Fuel_Specs!$E$15/[1]Fuel_Specs!$B$15*T4*[1]Fuel_Specs!$F$15*(1-$C$38)*(1-$C$10)*[1]Fuel_Specs!$B$15/((1-$C$38)*(1-$C$10)*[1]Fuel_Specs!$B$15+$C$38*(1-$C$10)*[1]Fuel_Specs!$B$16+$C$10*[1]Fuel_Specs!$B$32))+([1]Fuel_Specs!$E$32/[1]Fuel_Specs!$B$32*T4*[1]Fuel_Specs!$F$32*$C$10*[1]Fuel_Specs!$B$32/((1-$C$38)*(1-$C$10)*[1]Fuel_Specs!$B$15+$C$38*(1-$C$10)*[1]Fuel_Specs!$B$16+$C$10*[1]Fuel_Specs!$B$32))-((T10+T11)*[1]Fuel_Specs!$B$164+T12*[1]Fuel_Specs!$B$165+T21*[1]Fuel_Specs!$B$166))/[1]Fuel_Specs!$B$167</f>
        <v>#REF!</v>
      </c>
      <c r="U23" s="20" t="e">
        <f>(([1]Fuel_Specs!$E$16/[1]Fuel_Specs!$B$16*U4*[1]Fuel_Specs!$F$16*$C$39*(1-$C$11)*[1]Fuel_Specs!$B$16/((1-$C$39)*(1-$C$11)*[1]Fuel_Specs!$B$15+$C$39*(1-$C$11)*[1]Fuel_Specs!$B$16+$C$11*[1]Fuel_Specs!$B$32))+([1]Fuel_Specs!$E$15/[1]Fuel_Specs!$B$15*U4*[1]Fuel_Specs!$F$15*(1-$C$39)*(1-$C$11)*[1]Fuel_Specs!$B$15/((1-$C$39)*(1-$C$11)*[1]Fuel_Specs!$B$15+$C$39*(1-$C$11)*[1]Fuel_Specs!$B$16+$C$11*[1]Fuel_Specs!$B$32))+([1]Fuel_Specs!$E$32/[1]Fuel_Specs!$B$32*U4*[1]Fuel_Specs!$F$32*$C$11*[1]Fuel_Specs!$B$32/((1-$C$39)*(1-$C$11)*[1]Fuel_Specs!$B$15+$C$39*(1-$C$11)*[1]Fuel_Specs!$B$16+$C$11*[1]Fuel_Specs!$B$32))-((U10+U11)*[1]Fuel_Specs!$B$164+U12*[1]Fuel_Specs!$B$165+U21*[1]Fuel_Specs!$B$166))/[1]Fuel_Specs!$B$167</f>
        <v>#REF!</v>
      </c>
      <c r="V23" s="21" t="e">
        <f>(([1]Inputs!$E$96*[1]Fuel_Specs!$E$16*[1]Fuel_Specs!$F$16+(1-[1]Inputs!$E$96)*[1]Fuel_Specs!$E$15*[1]Fuel_Specs!$F$15)/V3-((V10+V11)*[1]Fuel_Specs!$B$164+V12*[1]Fuel_Specs!$B$165+V21*[1]Fuel_Specs!$B$166))/[1]Fuel_Specs!$B$167</f>
        <v>#REF!</v>
      </c>
      <c r="W23" s="20" t="e">
        <f>([1]Fuel_Specs!$E$17*[1]Fuel_Specs!$F$17/W3-((W10+W11)*[1]Fuel_Specs!$B$164+W12*[1]Fuel_Specs!$B$165+W21*[1]Fuel_Specs!$B$166))/[1]Fuel_Specs!$B$167</f>
        <v>#REF!</v>
      </c>
      <c r="X23" s="20" t="e">
        <f>(([1]Fuel_Specs!$E$16/[1]Fuel_Specs!$B$16*X4*[1]Fuel_Specs!$F$16*$C$35*(1-$C$7)*[1]Fuel_Specs!$B$16/((1-$C$35)*(1-$C$7)*[1]Fuel_Specs!$B$15+$C$35*(1-$C$7)*[1]Fuel_Specs!$B$16+$C$7*[1]Fuel_Specs!$B$32))+([1]Fuel_Specs!$E$15/[1]Fuel_Specs!$B$15*X4*[1]Fuel_Specs!$F$15*(1-$C$35)*(1-$C$7)*[1]Fuel_Specs!$B$15/((1-$C$35)*(1-$C$7)*[1]Fuel_Specs!$B$15+$C$35*(1-$C$7)*[1]Fuel_Specs!$B$16+$C$7*[1]Fuel_Specs!$B$32))+([1]Fuel_Specs!$E$32/[1]Fuel_Specs!$B$32*X4*[1]Fuel_Specs!$F$32*$C$7*[1]Fuel_Specs!$B$32/((1-$C$35)*(1-$C$7)*[1]Fuel_Specs!$B$15+$C$35*(1-$C$7)*[1]Fuel_Specs!$B$16+$C$7*[1]Fuel_Specs!$B$32))-((X10+X11)*[1]Fuel_Specs!$B$164+X12*[1]Fuel_Specs!$B$165+X21*[1]Fuel_Specs!$B$166))/[1]Fuel_Specs!$B$167</f>
        <v>#REF!</v>
      </c>
      <c r="Y23" s="20" t="e">
        <f>(([1]Fuel_Specs!$E$16/[1]Fuel_Specs!$B$16*Y4*[1]Fuel_Specs!$F$16*$C$34*(1-$C$6)*[1]Fuel_Specs!$B$16/((1-$C$34)*(1-$C$6)*[1]Fuel_Specs!$B$15+$C$34*(1-$C$6)*[1]Fuel_Specs!$B$16+$C$6*[1]Fuel_Specs!$B$31))+([1]Fuel_Specs!$E$15/[1]Fuel_Specs!$B$15*Y4*[1]Fuel_Specs!$F$15*(1-$C$34)*(1-$C$6)*[1]Fuel_Specs!$B$15/((1-$C$34)*(1-$C$6)*[1]Fuel_Specs!$B$15+$C$34*(1-$C$6)*[1]Fuel_Specs!$B$16+$C$6*[1]Fuel_Specs!$B$31))+([1]Fuel_Specs!$E$31/[1]Fuel_Specs!$B$31*Y4*[1]Fuel_Specs!$F$31*$C$6*[1]Fuel_Specs!$B$31/((1-$C$34)*(1-$C$6)*[1]Fuel_Specs!$B$15+$C$34*(1-$C$6)*[1]Fuel_Specs!$B$16+$C$6*[1]Fuel_Specs!$B$31))-((Y10+Y11)*[1]Fuel_Specs!$B$164+Y12*[1]Fuel_Specs!$B$165+Y21*[1]Fuel_Specs!$B$166))/[1]Fuel_Specs!$B$167</f>
        <v>#REF!</v>
      </c>
      <c r="Z23" s="22" t="e">
        <f>(([1]Fuel_Specs!$E$16/[1]Fuel_Specs!$B$16*Z4*[1]Fuel_Specs!$F$16*$C$36*(1-$C$9)*[1]Fuel_Specs!$B$16/((1-$C$36)*(1-$C$9)*[1]Fuel_Specs!$B$15+$C$36*(1-$C$9)*[1]Fuel_Specs!$B$16+$C$9*[1]Fuel_Specs!$B$32))+([1]Fuel_Specs!$E$15/[1]Fuel_Specs!$B$15*Z4*[1]Fuel_Specs!$F$15*(1-$C$36)*(1-$C$9)*[1]Fuel_Specs!$B$15/((1-$C$36)*(1-$C$9)*[1]Fuel_Specs!$B$15+$C$36*(1-$C$9)*[1]Fuel_Specs!$B$16+$C$9*[1]Fuel_Specs!$B$32))+([1]Fuel_Specs!$E$32/[1]Fuel_Specs!$B$32*Z4*[1]Fuel_Specs!$F$32*$C$9*[1]Fuel_Specs!$B$32/((1-$C$36)*(1-$C$9)*[1]Fuel_Specs!$B$15+$C$36*(1-$C$9)*[1]Fuel_Specs!$B$16+$C$9*[1]Fuel_Specs!$B$32))-((Z10+Z11)*[1]Fuel_Specs!$B$164+Z12*[1]Fuel_Specs!$B$165+Z21*[1]Fuel_Specs!$B$166))/[1]Fuel_Specs!$B$167</f>
        <v>#REF!</v>
      </c>
      <c r="AA23" s="20" t="e">
        <f>(AA4/([1]Inputs!$E$100*[1]Fuel_Specs!#REF!+(1-[1]Inputs!$E$100)*[1]Fuel_Specs!#REF!)*([1]Inputs!$E$100*[1]Fuel_Specs!#REF!*[1]Fuel_Specs!#REF!+(1-[1]Inputs!$E$100)*[1]Fuel_Specs!#REF!*[1]Fuel_Specs!#REF!)-((AA10+AA11)*[1]Fuel_Specs!$B$164+AA12*[1]Fuel_Specs!$B$165+AA21*[1]Fuel_Specs!$B$166))/[1]Fuel_Specs!$B$167</f>
        <v>#REF!</v>
      </c>
      <c r="AB23" s="20" t="e">
        <f>([1]Fuel_Specs!$E$38/[1]Fuel_Specs!$B$38*AB4*[1]Fuel_Specs!$F$38-((AB10+AB11)*[1]Fuel_Specs!$B$164+AB12*[1]Fuel_Specs!$B$165+AB21*[1]Fuel_Specs!$B$166))/[1]Fuel_Specs!$B$167</f>
        <v>#REF!</v>
      </c>
      <c r="AC23" s="20" t="e">
        <f>(([1]Fuel_Specs!$E$23/[1]Fuel_Specs!$B$23*AC4*[1]Fuel_Specs!$F$23*$C$41*(1-$C$13)*[1]Fuel_Specs!$B$23/((1-$C$41)*(1-$C$13)*[1]Fuel_Specs!$B$20+$C$41*(1-$C$13)*[1]Fuel_Specs!$B$23+$C$13*[1]Fuel_Specs!$B$41))+([1]Fuel_Specs!$E$20/[1]Fuel_Specs!$B$20*AC4*[1]Fuel_Specs!$F$20*(1-$C$41)*(1-$C$13)*[1]Fuel_Specs!$B$20/((1-$C$41)*(1-$C$13)*[1]Fuel_Specs!$B$20+$C$41*(1-$C$13)*[1]Fuel_Specs!$B$23+$C$13*[1]Fuel_Specs!$B$41))+([1]Fuel_Specs!$E$41/[1]Fuel_Specs!$B$41*AC4*[1]Fuel_Specs!$F$41*$C$13*[1]Fuel_Specs!$B$41/((1-$C$41)*(1-$C$13)*[1]Fuel_Specs!$B$20+$C$41*(1-$C$13)*[1]Fuel_Specs!$B$23+$C$13*[1]Fuel_Specs!$B$41))-((AC10+AC11)*[1]Fuel_Specs!$B$164+AC12*[1]Fuel_Specs!$B$165+AC21*[1]Fuel_Specs!$B$166))/[1]Fuel_Specs!$B$167</f>
        <v>#REF!</v>
      </c>
      <c r="AD23" s="20" t="e">
        <f>(([1]Fuel_Specs!$E$23/[1]Fuel_Specs!$B$23*AD4*[1]Fuel_Specs!$F$23*$C$42*(1-$C$14)*[1]Fuel_Specs!$B$23/((1-$C$42)*(1-$C$14)*[1]Fuel_Specs!$B$20+$C$42*(1-$C$14)*[1]Fuel_Specs!$B$23+$C$14*[1]Fuel_Specs!#REF!))+([1]Fuel_Specs!$E$20/[1]Fuel_Specs!$B$20*AD4*[1]Fuel_Specs!$F$20*(1-$C$42)*(1-$C$14)*[1]Fuel_Specs!$B$20/((1-$C$42)*(1-$C$14)*[1]Fuel_Specs!$B$20+$C$42*(1-$C$14)*[1]Fuel_Specs!$B$23+$C$14*[1]Fuel_Specs!#REF!))+([1]Fuel_Specs!#REF!/[1]Fuel_Specs!#REF!*AD4*[1]Fuel_Specs!#REF!*$C$14*[1]Fuel_Specs!#REF!/((1-$C$42)*(1-$C$14)*[1]Fuel_Specs!$B$20+$C$42*(1-$C$14)*[1]Fuel_Specs!$B$23+$C$14*[1]Fuel_Specs!#REF!))-((AD10+AD11)*[1]Fuel_Specs!$B$164+AD12*[1]Fuel_Specs!$B$165+AD21*[1]Fuel_Specs!$B$166))/[1]Fuel_Specs!$B$167</f>
        <v>#REF!</v>
      </c>
      <c r="AE23" s="20" t="e">
        <f>(([1]Fuel_Specs!$E$23/[1]Fuel_Specs!$B$23*AE4*[1]Fuel_Specs!$F$23*$C$43*(1-$C$15)*[1]Fuel_Specs!$B$23/((1-$C$43)*(1-$C$15)*[1]Fuel_Specs!$B$20+$C$43*(1-$C$15)*[1]Fuel_Specs!$B$23+$C$15*IF([1]Inputs!$E$755=1,[1]Fuel_Specs!$B$42,IF([1]Inputs!$E$755=3,[1]Fuel_Specs!$B$44,[1]Fuel_Specs!$B$43))))+([1]Fuel_Specs!$E$20/[1]Fuel_Specs!$B$20*AE4*[1]Fuel_Specs!$F$20*(1-$C$43)*(1-$C$15)*[1]Fuel_Specs!$B$20/((1-$C$43)*(1-$C$15)*[1]Fuel_Specs!$B$20+$C$43*(1-$C$15)*[1]Fuel_Specs!$B$23+$C$15*IF([1]Inputs!$E$755=1,[1]Fuel_Specs!$B$42,IF([1]Inputs!$E$755=3,[1]Fuel_Specs!$B$44,[1]Fuel_Specs!$B$43))))+(IF([1]Inputs!$E$755=1,[1]Fuel_Specs!$E$42,IF([1]Inputs!$E$755=3,[1]Fuel_Specs!$E$44,[1]Fuel_Specs!$E$43))/IF([1]Inputs!$E$755=1,[1]Fuel_Specs!$B$42,IF([1]Inputs!$E$755=3,[1]Fuel_Specs!$B$44,[1]Fuel_Specs!$B$43))*AE4*IF([1]Inputs!$E$755=1,[1]Fuel_Specs!#REF!,[1]Fuel_Specs!#REF!)*$C$15*IF([1]Inputs!$E$755=1,[1]Fuel_Specs!$B$42,IF([1]Inputs!$E$755=3,[1]Fuel_Specs!$B$44,[1]Fuel_Specs!$B$43))/((1-$C$43)*(1-$C$15)*[1]Fuel_Specs!$B$20+$C$43*(1-$C$15)*[1]Fuel_Specs!$B$23+$C$15*IF([1]Inputs!$E$755=1,[1]Fuel_Specs!$B$42,IF([1]Inputs!$E$755=3,[1]Fuel_Specs!$B$44,[1]Fuel_Specs!$B$43))))-((AE10+AE11)*[1]Fuel_Specs!$B$164+AE12*[1]Fuel_Specs!$B$165+AE21*[1]Fuel_Specs!$B$166))/[1]Fuel_Specs!$B$167</f>
        <v>#REF!</v>
      </c>
      <c r="AF23" s="20" t="e">
        <f>((((1-$C$44)*(1-$C$17-$C$18)*[1]Fuel_Specs!$E$20+$C$44*(1-$C$17-$C$18)*[1]Fuel_Specs!$E$23+$C$17*[1]Fuel_Specs!$E$32+$C$18*[1]Fuel_Specs!$E$35)/((1-$C$44)*(1-$C$17-$C$18)*[1]Fuel_Specs!$B$20+$C$44*(1-$C$17-$C$18)*[1]Fuel_Specs!$B$23+$C$17*[1]Fuel_Specs!$B$32+$C$18*[1]Fuel_Specs!$B$35)*((1-$C$44)*(1-$C$17-$C$18)*[1]Fuel_Specs!$F$20+$C$44*(1-$C$17-$C$18)*[1]Fuel_Specs!$F$23+$C$17*[1]Fuel_Specs!$F$32+$C$18*[1]Fuel_Specs!$F$35)*AF4)-AF21*[1]Fuel_Specs!$B$166)/[1]Fuel_Specs!$B$167</f>
        <v>#REF!</v>
      </c>
      <c r="AG23" s="20" t="e">
        <f>((((1-$C$44)*(1-$C$17-$C$18)*[1]Fuel_Specs!$E$20+$C$44*(1-$C$17-$C$18)*[1]Fuel_Specs!$E$23+$C$17*[1]Fuel_Specs!$E$32+$C$18*[1]Fuel_Specs!$E$35)/((1-$C$44)*(1-$C$17-$C$18)*[1]Fuel_Specs!$B$20+$C$44*(1-$C$17-$C$18)*[1]Fuel_Specs!$B$23+$C$17*[1]Fuel_Specs!$B$32+$C$18*[1]Fuel_Specs!$B$35)*((1-$C$44)*(1-$C$17-$C$18)*[1]Fuel_Specs!$F$20+$C$44*(1-$C$17-$C$18)*[1]Fuel_Specs!$F$23+$C$17*[1]Fuel_Specs!$F$32+$C$18*[1]Fuel_Specs!$F$35)*AG4)-AG21*[1]Fuel_Specs!$B$166)/[1]Fuel_Specs!$B$167</f>
        <v>#REF!</v>
      </c>
      <c r="AH23" s="21" t="e">
        <f>(([1]Inputs!$E$96*[1]Fuel_Specs!$E$16*[1]Fuel_Specs!$F$16+(1-[1]Inputs!$E$96)*[1]Fuel_Specs!$E$15*[1]Fuel_Specs!$F$15)/AH3-((AH10+AH11)*[1]Fuel_Specs!$B$164+AH12*[1]Fuel_Specs!$B$165+AH21*[1]Fuel_Specs!$B$166))/[1]Fuel_Specs!$B$167</f>
        <v>#REF!</v>
      </c>
      <c r="AI23" s="20" t="e">
        <f>([1]Fuel_Specs!$E$17*[1]Fuel_Specs!$F$17/AI3-((AI10+AI11)*[1]Fuel_Specs!$B$164+AI12*[1]Fuel_Specs!$B$165+AI21*[1]Fuel_Specs!$B$166))/[1]Fuel_Specs!$B$167</f>
        <v>#REF!</v>
      </c>
      <c r="AJ23" s="20" t="e">
        <f>(([1]Fuel_Specs!$E$16/[1]Fuel_Specs!$B$16*AJ4*[1]Fuel_Specs!$F$16*$C$40*(1-$C$16)*[1]Fuel_Specs!$B$16/((1-$C$40)*(1-$C$16)*[1]Fuel_Specs!$B$15+$C$40*(1-$C$16)*[1]Fuel_Specs!$B$16+$C$16*[1]Fuel_Specs!#REF!))+([1]Fuel_Specs!$E$15/[1]Fuel_Specs!$B$15*AJ4*[1]Fuel_Specs!$F$15*(1-$C$40)*(1-$C$16)*[1]Fuel_Specs!$B$15/((1-$C$40)*(1-$C$16)*[1]Fuel_Specs!$B$15+$C$40*(1-$C$16)*[1]Fuel_Specs!$B$16+$C$16*[1]Fuel_Specs!#REF!))+([1]Fuel_Specs!#REF!/[1]Fuel_Specs!#REF!*AJ4*[1]Fuel_Specs!#REF!*$C$16*[1]Fuel_Specs!#REF!/((1-$C$40)*(1-$C$16)*[1]Fuel_Specs!$B$15+$C$40*(1-$C$16)*[1]Fuel_Specs!$B$16+$C$16*[1]Fuel_Specs!#REF!))-((AJ10+AJ11)*[1]Fuel_Specs!$B$164+AJ12*[1]Fuel_Specs!$B$165+AJ21*[1]Fuel_Specs!$B$166))/[1]Fuel_Specs!$B$167</f>
        <v>#REF!</v>
      </c>
      <c r="AK23" s="20" t="e">
        <f>(([1]Fuel_Specs!$E$16/[1]Fuel_Specs!$B$16*AK4*[1]Fuel_Specs!$F$16*$C$35*(1-$C$7)*[1]Fuel_Specs!$B$16/((1-$C$35)*(1-$C$7)*[1]Fuel_Specs!$B$15+$C$35*(1-$C$7)*[1]Fuel_Specs!$B$16+$C$7*[1]Fuel_Specs!$B$32))+([1]Fuel_Specs!$E$15/[1]Fuel_Specs!$B$15*AK4*[1]Fuel_Specs!$F$15*(1-$C$35)*(1-$C$7)*[1]Fuel_Specs!$B$15/((1-$C$35)*(1-$C$7)*[1]Fuel_Specs!$B$15+$C$35*(1-$C$7)*[1]Fuel_Specs!$B$16+$C$7*[1]Fuel_Specs!$B$32))+([1]Fuel_Specs!$E$32/[1]Fuel_Specs!$B$32*AK4*[1]Fuel_Specs!$F$32*$C$7*[1]Fuel_Specs!$B$32/((1-$C$35)*(1-$C$7)*[1]Fuel_Specs!$B$15+$C$35*(1-$C$7)*[1]Fuel_Specs!$B$16+$C$7*[1]Fuel_Specs!$B$32))-((AK10+AK11)*[1]Fuel_Specs!$B$164+AK12*[1]Fuel_Specs!$B$165+AK21*[1]Fuel_Specs!$B$166))/[1]Fuel_Specs!$B$167</f>
        <v>#REF!</v>
      </c>
      <c r="AL23" s="20" t="e">
        <f>([1]Fuel_Specs!$E$81/[1]Fuel_Specs!$B$81*AL4*[1]Fuel_Specs!$F$81-((AL10+AL11)*[1]Fuel_Specs!$B$164+AL12*[1]Fuel_Specs!$B$165+AL21*[1]Fuel_Specs!$B$166))/[1]Fuel_Specs!$B$167</f>
        <v>#REF!</v>
      </c>
      <c r="AM23" s="20" t="e">
        <f>([1]Fuel_Specs!$E$37/[1]Fuel_Specs!$B$37*AM4*[1]Fuel_Specs!$F$37-((AM10+AM11)*[1]Fuel_Specs!$B$164+AM12*[1]Fuel_Specs!$B$165+AM21*[1]Fuel_Specs!$B$166))/[1]Fuel_Specs!$B$167</f>
        <v>#REF!</v>
      </c>
      <c r="AN23" s="20" t="e">
        <f>([1]Fuel_Specs!$E$36/[1]Fuel_Specs!$B$36*AN4*[1]Fuel_Specs!$F$36-((AN10+AN11)*[1]Fuel_Specs!$B$164+AN12*[1]Fuel_Specs!$B$165+AN21*[1]Fuel_Specs!$B$166))/[1]Fuel_Specs!$B$167</f>
        <v>#REF!</v>
      </c>
      <c r="AO23" s="20" t="e">
        <f>(([1]Fuel_Specs!$E$16/[1]Fuel_Specs!$B$16*AO4*[1]Fuel_Specs!$F$16*$C$34*(1-$C$6)*[1]Fuel_Specs!$B$16/((1-$C$34)*(1-$C$6)*[1]Fuel_Specs!$B$15+$C$34*(1-$C$6)*[1]Fuel_Specs!$B$16+$C$6*[1]Fuel_Specs!$B$31))+([1]Fuel_Specs!$E$15/[1]Fuel_Specs!$B$15*AO4*[1]Fuel_Specs!$F$15*(1-$C$34)*(1-$C$6)*[1]Fuel_Specs!$B$15/((1-$C$34)*(1-$C$6)*[1]Fuel_Specs!$B$15+$C$34*(1-$C$6)*[1]Fuel_Specs!$B$16+$C$6*[1]Fuel_Specs!$B$31))+([1]Fuel_Specs!$E$31/[1]Fuel_Specs!$B$31*AO4*[1]Fuel_Specs!$F$31*$C$6*[1]Fuel_Specs!$B$31/((1-$C$34)*(1-$C$6)*[1]Fuel_Specs!$B$15+$C$34*(1-$C$6)*[1]Fuel_Specs!$B$16+$C$6*[1]Fuel_Specs!$B$31))-((AO10+AO11)*[1]Fuel_Specs!$B$164+AO12*[1]Fuel_Specs!$B$165+AO21*[1]Fuel_Specs!$B$166))/[1]Fuel_Specs!$B$167</f>
        <v>#REF!</v>
      </c>
      <c r="AP23" s="20" t="e">
        <f>(([1]Fuel_Specs!$E$16/[1]Fuel_Specs!$B$16*AP4*[1]Fuel_Specs!$F$16*$C$36*(1-$C$9)*[1]Fuel_Specs!$B$16/((1-$C$36)*(1-$C$9)*[1]Fuel_Specs!$B$15+$C$36*(1-$C$9)*[1]Fuel_Specs!$B$16+$C$9*[1]Fuel_Specs!$B$32))+([1]Fuel_Specs!$E$15/[1]Fuel_Specs!$B$15*AP4*[1]Fuel_Specs!$F$15*(1-$C$36)*(1-$C$9)*[1]Fuel_Specs!$B$15/((1-$C$36)*(1-$C$9)*[1]Fuel_Specs!$B$15+$C$36*(1-$C$9)*[1]Fuel_Specs!$B$16+$C$9*[1]Fuel_Specs!$B$32))+([1]Fuel_Specs!$E$32/[1]Fuel_Specs!$B$32*AP4*[1]Fuel_Specs!$F$32*$C$9*[1]Fuel_Specs!$B$32/((1-$C$36)*(1-$C$9)*[1]Fuel_Specs!$B$15+$C$36*(1-$C$9)*[1]Fuel_Specs!$B$16+$C$9*[1]Fuel_Specs!$B$32))-((AP10+AP11)*[1]Fuel_Specs!$B$164+AP12*[1]Fuel_Specs!$B$165+AP21*[1]Fuel_Specs!$B$166))/[1]Fuel_Specs!$B$167</f>
        <v>#REF!</v>
      </c>
      <c r="AQ23" s="20">
        <v>0</v>
      </c>
      <c r="AR23" s="22">
        <v>0</v>
      </c>
      <c r="AS23" s="20" t="e">
        <f t="shared" ca="1" si="99"/>
        <v>#REF!</v>
      </c>
      <c r="AT23" s="20">
        <v>0</v>
      </c>
      <c r="AU23" s="20" t="e">
        <f ca="1">(([1]Inputs!$E$96*[1]Fuel_Specs!$E$16*[1]Fuel_Specs!$F$16+(1-[1]Inputs!$E$96)*[1]Fuel_Specs!$E$15*[1]Fuel_Specs!$F$15)/AU3-((AU10+AU11)*[1]Fuel_Specs!$B$164+AU12*[1]Fuel_Specs!$B$165+AU21*[1]Fuel_Specs!$B$166))/[1]Fuel_Specs!$B$167</f>
        <v>#REF!</v>
      </c>
      <c r="AV23" s="20" t="e">
        <f>(([1]Inputs!$E$96*[1]Fuel_Specs!$E$16*[1]Fuel_Specs!$F$16+(1-[1]Inputs!$E$96)*[1]Fuel_Specs!$E$15*[1]Fuel_Specs!$F$15)/AV3-((AV10+AV11)*[1]Fuel_Specs!$B$164+AV12*[1]Fuel_Specs!$B$165+AV21*[1]Fuel_Specs!$B$166))/[1]Fuel_Specs!$B$167</f>
        <v>#REF!</v>
      </c>
      <c r="AW23" s="21" t="e">
        <f t="shared" ca="1" si="103"/>
        <v>#REF!</v>
      </c>
      <c r="AX23" s="20">
        <v>0</v>
      </c>
      <c r="AY23" s="20" t="e">
        <f ca="1">([1]Fuel_Specs!$E$17*[1]Fuel_Specs!$F$17/AY3-((AY10+AY11)*[1]Fuel_Specs!$B$164+AY12*[1]Fuel_Specs!$B$165+AY21*[1]Fuel_Specs!$B$166))/[1]Fuel_Specs!$B$167</f>
        <v>#REF!</v>
      </c>
      <c r="AZ23" s="22" t="e">
        <f>([1]Fuel_Specs!$E$17*[1]Fuel_Specs!$F$17/AZ3-((AZ10+AZ11)*[1]Fuel_Specs!$B$164+AZ12*[1]Fuel_Specs!$B$165+AZ21*[1]Fuel_Specs!$B$166))/[1]Fuel_Specs!$B$167</f>
        <v>#REF!</v>
      </c>
      <c r="BA23" s="21" t="e">
        <f t="shared" ca="1" si="58"/>
        <v>#REF!</v>
      </c>
      <c r="BB23" s="20">
        <v>0</v>
      </c>
      <c r="BC23" s="20" t="e">
        <f ca="1">(([1]Fuel_Specs!$E$16/[1]Fuel_Specs!$B$16*BC4*[1]Fuel_Specs!$F$16*$C$40*(1-$C$16)*[1]Fuel_Specs!$B$16/((1-$C$40)*(1-$C$16)*[1]Fuel_Specs!$B$15+$C$40*(1-$C$16)*[1]Fuel_Specs!$B$16+$C$16*[1]Fuel_Specs!#REF!))+([1]Fuel_Specs!$E$15/[1]Fuel_Specs!$B$15*BC4*[1]Fuel_Specs!$F$15*(1-$C$40)*(1-$C$16)*[1]Fuel_Specs!$B$15/((1-$C$40)*(1-$C$16)*[1]Fuel_Specs!$B$15+$C$40*(1-$C$16)*[1]Fuel_Specs!$B$16+$C$16*[1]Fuel_Specs!#REF!))+([1]Fuel_Specs!#REF!/[1]Fuel_Specs!#REF!*BC4*[1]Fuel_Specs!#REF!*$C$16*[1]Fuel_Specs!#REF!/((1-$C$40)*(1-$C$16)*[1]Fuel_Specs!$B$15+$C$40*(1-$C$16)*[1]Fuel_Specs!$B$16+$C$16*[1]Fuel_Specs!#REF!))-((BC10+BC11)*[1]Fuel_Specs!$B$164+BC12*[1]Fuel_Specs!$B$165+BC21*[1]Fuel_Specs!$B$166))/[1]Fuel_Specs!$B$167</f>
        <v>#REF!</v>
      </c>
      <c r="BD23" s="22" t="e">
        <f>(([1]Fuel_Specs!$E$16/[1]Fuel_Specs!$B$16*BD4*[1]Fuel_Specs!$F$16*$C$40*(1-$C$16)*[1]Fuel_Specs!$B$16/((1-$C$40)*(1-$C$16)*[1]Fuel_Specs!$B$15+$C$40*(1-$C$16)*[1]Fuel_Specs!$B$16+$C$16*[1]Fuel_Specs!#REF!))+([1]Fuel_Specs!$E$15/[1]Fuel_Specs!$B$15*BD4*[1]Fuel_Specs!$F$15*(1-$C$40)*(1-$C$16)*[1]Fuel_Specs!$B$15/((1-$C$40)*(1-$C$16)*[1]Fuel_Specs!$B$15+$C$40*(1-$C$16)*[1]Fuel_Specs!$B$16+$C$16*[1]Fuel_Specs!#REF!))+([1]Fuel_Specs!#REF!/[1]Fuel_Specs!#REF!*BD4*[1]Fuel_Specs!#REF!*$C$16*[1]Fuel_Specs!#REF!/((1-$C$40)*(1-$C$16)*[1]Fuel_Specs!$B$15+$C$40*(1-$C$16)*[1]Fuel_Specs!$B$16+$C$16*[1]Fuel_Specs!#REF!))-((BD10+BD11)*[1]Fuel_Specs!$B$164+BD12*[1]Fuel_Specs!$B$165+BD21*[1]Fuel_Specs!$B$166))/[1]Fuel_Specs!$B$167</f>
        <v>#REF!</v>
      </c>
      <c r="BE23" s="20" t="e">
        <f t="shared" ca="1" si="110"/>
        <v>#REF!</v>
      </c>
      <c r="BF23" s="20">
        <v>0</v>
      </c>
      <c r="BG23" s="20" t="e">
        <f ca="1">(([1]Fuel_Specs!$E$16/[1]Fuel_Specs!$B$16*BG4*[1]Fuel_Specs!$F$16*$C$35*(1-$C$7)*[1]Fuel_Specs!$B$16/((1-$C$35)*(1-$C$7)*[1]Fuel_Specs!$B$15+$C$35*(1-$C$7)*[1]Fuel_Specs!$B$16+$C$7*[1]Fuel_Specs!$B$32))+([1]Fuel_Specs!$E$15/[1]Fuel_Specs!$B$15*BG4*[1]Fuel_Specs!$F$15*(1-$C$35)*(1-$C$7)*[1]Fuel_Specs!$B$15/((1-$C$35)*(1-$C$7)*[1]Fuel_Specs!$B$15+$C$35*(1-$C$7)*[1]Fuel_Specs!$B$16+$C$7*[1]Fuel_Specs!$B$32))+([1]Fuel_Specs!$E$32/[1]Fuel_Specs!$B$32*BG4*[1]Fuel_Specs!$F$32*$C$7*[1]Fuel_Specs!$B$32/((1-$C$35)*(1-$C$7)*[1]Fuel_Specs!$B$15+$C$35*(1-$C$7)*[1]Fuel_Specs!$B$16+$C$7*[1]Fuel_Specs!$B$32))-((BG10+BG11)*[1]Fuel_Specs!$B$164+BG12*[1]Fuel_Specs!$B$165+BG21*[1]Fuel_Specs!$B$166))/[1]Fuel_Specs!$B$167</f>
        <v>#REF!</v>
      </c>
      <c r="BH23" s="20" t="e">
        <f>(([1]Fuel_Specs!$E$16/[1]Fuel_Specs!$B$16*BH4*[1]Fuel_Specs!$F$16*$C$35*(1-$C$7)*[1]Fuel_Specs!$B$16/((1-$C$35)*(1-$C$7)*[1]Fuel_Specs!$B$15+$C$35*(1-$C$7)*[1]Fuel_Specs!$B$16+$C$7*[1]Fuel_Specs!$B$32))+([1]Fuel_Specs!$E$15/[1]Fuel_Specs!$B$15*BH4*[1]Fuel_Specs!$F$15*(1-$C$35)*(1-$C$7)*[1]Fuel_Specs!$B$15/((1-$C$35)*(1-$C$7)*[1]Fuel_Specs!$B$15+$C$35*(1-$C$7)*[1]Fuel_Specs!$B$16+$C$7*[1]Fuel_Specs!$B$32))+([1]Fuel_Specs!$E$32/[1]Fuel_Specs!$B$32*BH4*[1]Fuel_Specs!$F$32*$C$7*[1]Fuel_Specs!$B$32/((1-$C$35)*(1-$C$7)*[1]Fuel_Specs!$B$15+$C$35*(1-$C$7)*[1]Fuel_Specs!$B$16+$C$7*[1]Fuel_Specs!$B$32))-((BH10+BH11)*[1]Fuel_Specs!$B$164+BH12*[1]Fuel_Specs!$B$165+BH21*[1]Fuel_Specs!$B$166))/[1]Fuel_Specs!$B$167</f>
        <v>#REF!</v>
      </c>
      <c r="BI23" s="21" t="e">
        <f t="shared" ca="1" si="113"/>
        <v>#REF!</v>
      </c>
      <c r="BJ23" s="20">
        <v>0</v>
      </c>
      <c r="BK23" s="20" t="e">
        <f ca="1">([1]Fuel_Specs!$E$81/[1]Fuel_Specs!$B$81*BK4*[1]Fuel_Specs!$F$81-((BK10+BK11)*[1]Fuel_Specs!$B$164+BK12*[1]Fuel_Specs!$B$165+BK21*[1]Fuel_Specs!$B$166))/[1]Fuel_Specs!$B$167</f>
        <v>#REF!</v>
      </c>
      <c r="BL23" s="22" t="e">
        <f>([1]Fuel_Specs!$E$81/[1]Fuel_Specs!$B$81*BL4*[1]Fuel_Specs!$F$81-((BL10+BL11)*[1]Fuel_Specs!$B$164+BL12*[1]Fuel_Specs!$B$165+BL21*[1]Fuel_Specs!$B$166))/[1]Fuel_Specs!$B$167</f>
        <v>#REF!</v>
      </c>
      <c r="BM23" s="20" t="e">
        <f t="shared" ca="1" si="116"/>
        <v>#REF!</v>
      </c>
      <c r="BN23" s="20">
        <v>0</v>
      </c>
      <c r="BO23" s="20" t="e">
        <f ca="1">([1]Fuel_Specs!$E$37/[1]Fuel_Specs!$B$37*BO4*[1]Fuel_Specs!$F$37-((BO10+BO11)*[1]Fuel_Specs!$B$164+BO12*[1]Fuel_Specs!$B$165+BO21*[1]Fuel_Specs!$B$166))/[1]Fuel_Specs!$B$167</f>
        <v>#REF!</v>
      </c>
      <c r="BP23" s="20" t="e">
        <f>([1]Fuel_Specs!$E$37/[1]Fuel_Specs!$B$37*BP4*[1]Fuel_Specs!$F$37-((BP10+BP11)*[1]Fuel_Specs!$B$164+BP12*[1]Fuel_Specs!$B$165+BP21*[1]Fuel_Specs!$B$166))/[1]Fuel_Specs!$B$167</f>
        <v>#REF!</v>
      </c>
      <c r="BQ23" s="21" t="e">
        <f t="shared" ca="1" si="119"/>
        <v>#REF!</v>
      </c>
      <c r="BR23" s="20">
        <v>0</v>
      </c>
      <c r="BS23" s="20" t="e">
        <f ca="1">([1]Fuel_Specs!$E$36/[1]Fuel_Specs!$B$36*BS4*[1]Fuel_Specs!$F$36-((BS10+BS11)*[1]Fuel_Specs!$B$164+BS12*[1]Fuel_Specs!$B$165+BS21*[1]Fuel_Specs!$B$166))/[1]Fuel_Specs!$B$167</f>
        <v>#REF!</v>
      </c>
      <c r="BT23" s="22" t="e">
        <f>([1]Fuel_Specs!$E$36/[1]Fuel_Specs!$B$36*BT4*[1]Fuel_Specs!$F$36-((BT10+BT11)*[1]Fuel_Specs!$B$164+BT12*[1]Fuel_Specs!$B$165+BT21*[1]Fuel_Specs!$B$166))/[1]Fuel_Specs!$B$167</f>
        <v>#REF!</v>
      </c>
      <c r="BU23" s="20" t="e">
        <f t="shared" ca="1" si="122"/>
        <v>#REF!</v>
      </c>
      <c r="BV23" s="20">
        <v>0</v>
      </c>
      <c r="BW23" s="20" t="e">
        <f ca="1">(([1]Fuel_Specs!$E$16/[1]Fuel_Specs!$B$16*BW4*[1]Fuel_Specs!$F$16*$C$34*(1-$C$6)*[1]Fuel_Specs!$B$16/((1-$C$34)*(1-$C$6)*[1]Fuel_Specs!$B$15+$C$34*(1-$C$6)*[1]Fuel_Specs!$B$16+$C$6*[1]Fuel_Specs!$B$31))+([1]Fuel_Specs!$E$15/[1]Fuel_Specs!$B$15*BW4*[1]Fuel_Specs!$F$15*(1-$C$34)*(1-$C$6)*[1]Fuel_Specs!$B$15/((1-$C$34)*(1-$C$6)*[1]Fuel_Specs!$B$15+$C$34*(1-$C$6)*[1]Fuel_Specs!$B$16+$C$6*[1]Fuel_Specs!$B$31))+([1]Fuel_Specs!$E$31/[1]Fuel_Specs!$B$31*BW4*[1]Fuel_Specs!$F$31*$C$6*[1]Fuel_Specs!$B$31/((1-$C$34)*(1-$C$6)*[1]Fuel_Specs!$B$15+$C$34*(1-$C$6)*[1]Fuel_Specs!$B$16+$C$6*[1]Fuel_Specs!$B$31))-((BW10+BW11)*[1]Fuel_Specs!$B$164+BW12*[1]Fuel_Specs!$B$165+BW21*[1]Fuel_Specs!$B$166))/[1]Fuel_Specs!$B$167</f>
        <v>#REF!</v>
      </c>
      <c r="BX23" s="20" t="e">
        <f>(([1]Fuel_Specs!$E$16/[1]Fuel_Specs!$B$16*BX4*[1]Fuel_Specs!$F$16*$C$34*(1-$C$6)*[1]Fuel_Specs!$B$16/((1-$C$34)*(1-$C$6)*[1]Fuel_Specs!$B$15+$C$34*(1-$C$6)*[1]Fuel_Specs!$B$16+$C$6*[1]Fuel_Specs!$B$31))+([1]Fuel_Specs!$E$15/[1]Fuel_Specs!$B$15*BX4*[1]Fuel_Specs!$F$15*(1-$C$34)*(1-$C$6)*[1]Fuel_Specs!$B$15/((1-$C$34)*(1-$C$6)*[1]Fuel_Specs!$B$15+$C$34*(1-$C$6)*[1]Fuel_Specs!$B$16+$C$6*[1]Fuel_Specs!$B$31))+([1]Fuel_Specs!$E$31/[1]Fuel_Specs!$B$31*BX4*[1]Fuel_Specs!$F$31*$C$6*[1]Fuel_Specs!$B$31/((1-$C$34)*(1-$C$6)*[1]Fuel_Specs!$B$15+$C$34*(1-$C$6)*[1]Fuel_Specs!$B$16+$C$6*[1]Fuel_Specs!$B$31))-((BX10+BX11)*[1]Fuel_Specs!$B$164+BX12*[1]Fuel_Specs!$B$165+BX21*[1]Fuel_Specs!$B$166))/[1]Fuel_Specs!$B$167</f>
        <v>#REF!</v>
      </c>
      <c r="BY23" s="21" t="e">
        <f t="shared" ca="1" si="125"/>
        <v>#REF!</v>
      </c>
      <c r="BZ23" s="20">
        <v>0</v>
      </c>
      <c r="CA23" s="20" t="e">
        <f ca="1">(([1]Fuel_Specs!$E$16/[1]Fuel_Specs!$B$16*CA4*[1]Fuel_Specs!$F$16*$C$36*(1-$C$9)*[1]Fuel_Specs!$B$16/((1-$C$36)*(1-$C$9)*[1]Fuel_Specs!$B$15+$C$36*(1-$C$9)*[1]Fuel_Specs!$B$16+$C$9*[1]Fuel_Specs!$B$32))+([1]Fuel_Specs!$E$15/[1]Fuel_Specs!$B$15*CA4*[1]Fuel_Specs!$F$15*(1-$C$36)*(1-$C$9)*[1]Fuel_Specs!$B$15/((1-$C$36)*(1-$C$9)*[1]Fuel_Specs!$B$15+$C$36*(1-$C$9)*[1]Fuel_Specs!$B$16+$C$9*[1]Fuel_Specs!$B$32))+([1]Fuel_Specs!$E$32/[1]Fuel_Specs!$B$32*CA4*[1]Fuel_Specs!$F$32*$C$9*[1]Fuel_Specs!$B$32/((1-$C$36)*(1-$C$9)*[1]Fuel_Specs!$B$15+$C$36*(1-$C$9)*[1]Fuel_Specs!$B$16+$C$9*[1]Fuel_Specs!$B$32))-((CA10+CA11)*[1]Fuel_Specs!$B$164+CA12*[1]Fuel_Specs!$B$165+CA21*[1]Fuel_Specs!$B$166))/[1]Fuel_Specs!$B$167</f>
        <v>#REF!</v>
      </c>
      <c r="CB23" s="22" t="e">
        <f>(([1]Fuel_Specs!$E$16/[1]Fuel_Specs!$B$16*CB4*[1]Fuel_Specs!$F$16*$C$36*(1-$C$9)*[1]Fuel_Specs!$B$16/((1-$C$36)*(1-$C$9)*[1]Fuel_Specs!$B$15+$C$36*(1-$C$9)*[1]Fuel_Specs!$B$16+$C$9*[1]Fuel_Specs!$B$32))+([1]Fuel_Specs!$E$15/[1]Fuel_Specs!$B$15*CB4*[1]Fuel_Specs!$F$15*(1-$C$36)*(1-$C$9)*[1]Fuel_Specs!$B$15/((1-$C$36)*(1-$C$9)*[1]Fuel_Specs!$B$15+$C$36*(1-$C$9)*[1]Fuel_Specs!$B$16+$C$9*[1]Fuel_Specs!$B$32))+([1]Fuel_Specs!$E$32/[1]Fuel_Specs!$B$32*CB4*[1]Fuel_Specs!$F$32*$C$9*[1]Fuel_Specs!$B$32/((1-$C$36)*(1-$C$9)*[1]Fuel_Specs!$B$15+$C$36*(1-$C$9)*[1]Fuel_Specs!$B$16+$C$9*[1]Fuel_Specs!$B$32))-((CB10+CB11)*[1]Fuel_Specs!$B$164+CB12*[1]Fuel_Specs!$B$165+CB21*[1]Fuel_Specs!$B$166))/[1]Fuel_Specs!$B$167</f>
        <v>#REF!</v>
      </c>
      <c r="CC23" s="20">
        <f t="shared" si="128"/>
        <v>0</v>
      </c>
      <c r="CD23" s="20">
        <v>0</v>
      </c>
      <c r="CE23" s="20">
        <v>0</v>
      </c>
      <c r="CF23" s="20">
        <v>0</v>
      </c>
      <c r="CG23" s="20">
        <v>0</v>
      </c>
      <c r="CH23" s="21" t="e">
        <f>(CH4/([1]Inputs!$E$100*[1]Fuel_Specs!#REF!+(1-[1]Inputs!$E$100)*[1]Fuel_Specs!#REF!)*([1]Inputs!$E$100*[1]Fuel_Specs!#REF!*[1]Fuel_Specs!#REF!+(1-[1]Inputs!$E$100)*[1]Fuel_Specs!#REF!*[1]Fuel_Specs!#REF!)-((CH10+CH11)*[1]Fuel_Specs!$B$164+CH12*[1]Fuel_Specs!$B$165+CH21*[1]Fuel_Specs!$B$166))/[1]Fuel_Specs!$B$167</f>
        <v>#REF!</v>
      </c>
      <c r="CI23" s="20" t="e">
        <f>([1]Fuel_Specs!$E$38/[1]Fuel_Specs!$B$38*CI4*[1]Fuel_Specs!$F$38-((CI10+CI11)*[1]Fuel_Specs!$B$164+CI12*[1]Fuel_Specs!$B$165+CI21*[1]Fuel_Specs!$B$166))/[1]Fuel_Specs!$B$167</f>
        <v>#REF!</v>
      </c>
      <c r="CJ23" s="20" t="e">
        <f>(([1]Fuel_Specs!$E$23/[1]Fuel_Specs!$B$23*CJ4*[1]Fuel_Specs!$F$23*$C$41*(1-$C$13)*[1]Fuel_Specs!$B$23/((1-$C$41)*(1-$C$13)*[1]Fuel_Specs!$B$20+$C$41*(1-$C$13)*[1]Fuel_Specs!$B$23+$C$13*[1]Fuel_Specs!$B$41))+([1]Fuel_Specs!$E$20/[1]Fuel_Specs!$B$20*CJ4*[1]Fuel_Specs!$F$20*(1-$C$41)*(1-$C$13)*[1]Fuel_Specs!$B$20/((1-$C$41)*(1-$C$13)*[1]Fuel_Specs!$B$20+$C$41*(1-$C$13)*[1]Fuel_Specs!$B$23+$C$13*[1]Fuel_Specs!$B$41))+([1]Fuel_Specs!$E$41/[1]Fuel_Specs!$B$41*CJ4*[1]Fuel_Specs!$F$41*$C$13*[1]Fuel_Specs!$B$41/((1-$C$41)*(1-$C$13)*[1]Fuel_Specs!$B$20+$C$41*(1-$C$13)*[1]Fuel_Specs!$B$23+$C$13*[1]Fuel_Specs!$B$41))-((CJ10+CJ11)*[1]Fuel_Specs!$B$164+CJ12*[1]Fuel_Specs!$B$165+CJ21*[1]Fuel_Specs!$B$166))/[1]Fuel_Specs!$B$167</f>
        <v>#REF!</v>
      </c>
      <c r="CK23" s="20" t="e">
        <f>(([1]Fuel_Specs!$E$23/[1]Fuel_Specs!$B$23*CK4*[1]Fuel_Specs!$F$23*$C$42*(1-$C$14)*[1]Fuel_Specs!$B$23/((1-$C$42)*(1-$C$14)*[1]Fuel_Specs!$B$20+$C$42*(1-$C$14)*[1]Fuel_Specs!$B$23+$C$14*[1]Fuel_Specs!#REF!))+([1]Fuel_Specs!$E$20/[1]Fuel_Specs!$B$20*CK4*[1]Fuel_Specs!$F$20*(1-$C$42)*(1-$C$14)*[1]Fuel_Specs!$B$20/((1-$C$42)*(1-$C$14)*[1]Fuel_Specs!$B$20+$C$42*(1-$C$14)*[1]Fuel_Specs!$B$23+$C$14*[1]Fuel_Specs!#REF!))+([1]Fuel_Specs!#REF!/[1]Fuel_Specs!#REF!*CK4*[1]Fuel_Specs!#REF!*$C$14*[1]Fuel_Specs!#REF!/((1-$C$42)*(1-$C$14)*[1]Fuel_Specs!$B$20+$C$42*(1-$C$14)*[1]Fuel_Specs!$B$23+$C$14*[1]Fuel_Specs!#REF!))-((CK10+CK11)*[1]Fuel_Specs!$B$164+CK12*[1]Fuel_Specs!$B$165+CK21*[1]Fuel_Specs!$B$166))/[1]Fuel_Specs!$B$167</f>
        <v>#REF!</v>
      </c>
      <c r="CL23" s="20" t="e">
        <f>(([1]Fuel_Specs!$E$23/[1]Fuel_Specs!$B$23*CL4*[1]Fuel_Specs!$F$23*$C$43*(1-$C$15)*[1]Fuel_Specs!$B$23/((1-$C$43)*(1-$C$15)*[1]Fuel_Specs!$B$20+$C$43*(1-$C$15)*[1]Fuel_Specs!$B$23+$C$15*IF([1]Inputs!$E$755=1,[1]Fuel_Specs!$B$42,[1]Fuel_Specs!$B$43)))+([1]Fuel_Specs!$E$20/[1]Fuel_Specs!$B$20*CL4*[1]Fuel_Specs!$F$20*(1-$C$43)*(1-$C$15)*[1]Fuel_Specs!$B$20/((1-$C$43)*(1-$C$15)*[1]Fuel_Specs!$B$20+$C$43*(1-$C$15)*[1]Fuel_Specs!$B$23+$C$15*IF([1]Inputs!$E$755=1,[1]Fuel_Specs!$B$42,[1]Fuel_Specs!$B$43)))+(IF([1]Inputs!$E$755=1,[1]Fuel_Specs!$E$42,[1]Fuel_Specs!$E$43)/IF([1]Inputs!$E$755=1,[1]Fuel_Specs!$B$42,[1]Fuel_Specs!$B$43)*CL4*IF([1]Inputs!$E$755=1,[1]Fuel_Specs!$F$42,[1]Fuel_Specs!$F$43)*$C$15*IF([1]Inputs!$E$755=1,[1]Fuel_Specs!$B$42,[1]Fuel_Specs!$B$43)/((1-$C$43)*(1-$C$15)*[1]Fuel_Specs!$B$20+$C$43*(1-$C$15)*[1]Fuel_Specs!$B$23+$C$15*IF([1]Inputs!$E$755=1,[1]Fuel_Specs!$B$42,[1]Fuel_Specs!$B$43)))-((CL10+CL11)*[1]Fuel_Specs!$B$164+CL12*[1]Fuel_Specs!$B$165+CL21*[1]Fuel_Specs!$B$166))/[1]Fuel_Specs!$B$167</f>
        <v>#REF!</v>
      </c>
      <c r="CM23" s="22" t="e">
        <f>((((1-$C$44)*(1-$C$17-$C$18)*[1]Fuel_Specs!$E$20+$C$44*(1-$C$17-$C$18)*[1]Fuel_Specs!$E$23+$C$17*[1]Fuel_Specs!$E$32+$C$18*[1]Fuel_Specs!$E$35)/((1-$C$44)*(1-$C$17-$C$18)*[1]Fuel_Specs!$B$20+$C$44*(1-$C$17-$C$18)*[1]Fuel_Specs!$B$23+$C$17*[1]Fuel_Specs!$B$32+$C$18*[1]Fuel_Specs!$B$35)*((1-$C$44)*(1-$C$17-$C$18)*[1]Fuel_Specs!$F$20+$C$44*(1-$C$17-$C$18)*[1]Fuel_Specs!$F$23+$C$17*[1]Fuel_Specs!$F$32+$C$18*[1]Fuel_Specs!$F$35)*CM4)-CM21*[1]Fuel_Specs!$B$166)/[1]Fuel_Specs!$B$167</f>
        <v>#REF!</v>
      </c>
      <c r="CN23" s="20" t="e">
        <f t="shared" ca="1" si="138"/>
        <v>#REF!</v>
      </c>
      <c r="CO23" s="20">
        <v>0</v>
      </c>
      <c r="CP23" s="20" t="e">
        <f ca="1">(CP4/([1]Inputs!$E$100*[1]Fuel_Specs!#REF!+(1-[1]Inputs!$E$100)*[1]Fuel_Specs!#REF!)*([1]Inputs!$E$100*[1]Fuel_Specs!#REF!*[1]Fuel_Specs!#REF!+(1-[1]Inputs!$E$100)*[1]Fuel_Specs!#REF!*[1]Fuel_Specs!#REF!)-((CP10+CP11)*[1]Fuel_Specs!$B$164+CP12*[1]Fuel_Specs!$B$165+CP21*[1]Fuel_Specs!$B$166))/[1]Fuel_Specs!$B$167+(CP10+CP11)*[1]Fuel_Specs!B95/[1]Fuel_Specs!B98+CP12*[1]Fuel_Specs!B96/[1]Fuel_Specs!B98</f>
        <v>#REF!</v>
      </c>
      <c r="CQ23" s="20" t="e">
        <f>(CQ4/([1]Inputs!$E$100*[1]Fuel_Specs!#REF!+(1-[1]Inputs!$E$100)*[1]Fuel_Specs!#REF!)*([1]Inputs!$E$100*[1]Fuel_Specs!#REF!*[1]Fuel_Specs!#REF!+(1-[1]Inputs!$E$100)*[1]Fuel_Specs!#REF!*[1]Fuel_Specs!#REF!)-((CQ10+CQ11)*[1]Fuel_Specs!$B$164+CQ12*[1]Fuel_Specs!$B$165+CQ21*[1]Fuel_Specs!$B$166))/[1]Fuel_Specs!$B$167</f>
        <v>#REF!</v>
      </c>
      <c r="CR23" s="21" t="e">
        <f t="shared" ca="1" si="53"/>
        <v>#REF!</v>
      </c>
      <c r="CS23" s="20">
        <v>0</v>
      </c>
      <c r="CT23" s="20" t="e">
        <f ca="1">([1]Fuel_Specs!$E$38/[1]Fuel_Specs!$B$38*CT4*[1]Fuel_Specs!$F$38-((CT10+CT11)*[1]Fuel_Specs!$B$164+CT12*[1]Fuel_Specs!$B$165+CT21*[1]Fuel_Specs!$B$166))/[1]Fuel_Specs!$B$167</f>
        <v>#REF!</v>
      </c>
      <c r="CU23" s="22" t="e">
        <f>([1]Fuel_Specs!$E$38/[1]Fuel_Specs!$B$38*CU4*[1]Fuel_Specs!$F$38-((CU10+CU11)*[1]Fuel_Specs!$B$164+CU12*[1]Fuel_Specs!$B$165+CU21*[1]Fuel_Specs!$B$166))/[1]Fuel_Specs!$B$167</f>
        <v>#REF!</v>
      </c>
      <c r="CV23" s="20" t="e">
        <f t="shared" ca="1" si="54"/>
        <v>#REF!</v>
      </c>
      <c r="CW23" s="20">
        <v>0</v>
      </c>
      <c r="CX23" s="20" t="e">
        <f ca="1">(([1]Fuel_Specs!$E$23/[1]Fuel_Specs!$B$23*CX4*[1]Fuel_Specs!$F$23*$C$41*(1-$C$13)*[1]Fuel_Specs!$B$23/((1-$C$41)*(1-$C$13)*[1]Fuel_Specs!$B$20+$C$41*(1-$C$13)*[1]Fuel_Specs!$B$23+$C$13*[1]Fuel_Specs!$B$41))+([1]Fuel_Specs!$E$20/[1]Fuel_Specs!$B$20*CX4*[1]Fuel_Specs!$F$20*(1-$C$41)*(1-$C$13)*[1]Fuel_Specs!$B$20/((1-$C$41)*(1-$C$13)*[1]Fuel_Specs!$B$20+$C$41*(1-$C$13)*[1]Fuel_Specs!$B$23+$C$13*[1]Fuel_Specs!$B$41))+([1]Fuel_Specs!$E$41/[1]Fuel_Specs!$B$41*CX4*[1]Fuel_Specs!$F$41*$C$13*[1]Fuel_Specs!$B$41/((1-$C$41)*(1-$C$13)*[1]Fuel_Specs!$B$20+$C$41*(1-$C$13)*[1]Fuel_Specs!$B$23+$C$13*[1]Fuel_Specs!$B$41))-((CX10+CX11)*[1]Fuel_Specs!$B$164+CX12*[1]Fuel_Specs!$B$165+CX21*[1]Fuel_Specs!$B$166))/[1]Fuel_Specs!$B$167</f>
        <v>#REF!</v>
      </c>
      <c r="CY23" s="20" t="e">
        <f>(([1]Fuel_Specs!$E$23/[1]Fuel_Specs!$B$23*CY4*[1]Fuel_Specs!$F$23*$C$41*(1-$C$13)*[1]Fuel_Specs!$B$23/((1-$C$41)*(1-$C$13)*[1]Fuel_Specs!$B$20+$C$41*(1-$C$13)*[1]Fuel_Specs!$B$23+$C$13*[1]Fuel_Specs!$B$41))+([1]Fuel_Specs!$E$20/[1]Fuel_Specs!$B$20*CY4*[1]Fuel_Specs!$F$20*(1-$C$41)*(1-$C$13)*[1]Fuel_Specs!$B$20/((1-$C$41)*(1-$C$13)*[1]Fuel_Specs!$B$20+$C$41*(1-$C$13)*[1]Fuel_Specs!$B$23+$C$13*[1]Fuel_Specs!$B$41))+([1]Fuel_Specs!$E$41/[1]Fuel_Specs!$B$41*CY4*[1]Fuel_Specs!$F$41*$C$13*[1]Fuel_Specs!$B$41/((1-$C$41)*(1-$C$13)*[1]Fuel_Specs!$B$20+$C$41*(1-$C$13)*[1]Fuel_Specs!$B$23+$C$13*[1]Fuel_Specs!$B$41))-((CY10+CY11)*[1]Fuel_Specs!$B$164+CY12*[1]Fuel_Specs!$B$165+CY21*[1]Fuel_Specs!$B$166))/[1]Fuel_Specs!$B$167</f>
        <v>#REF!</v>
      </c>
      <c r="CZ23" s="21" t="e">
        <f t="shared" ca="1" si="55"/>
        <v>#REF!</v>
      </c>
      <c r="DA23" s="20">
        <v>0</v>
      </c>
      <c r="DB23" s="20" t="e">
        <f ca="1">(([1]Fuel_Specs!$E$23/[1]Fuel_Specs!$B$23*DB4*[1]Fuel_Specs!$F$23*$C$42*(1-$C$14)*[1]Fuel_Specs!$B$23/((1-$C$42)*(1-$C$14)*[1]Fuel_Specs!$B$20+$C$42*(1-$C$14)*[1]Fuel_Specs!$B$23+$C$14*[1]Fuel_Specs!#REF!))+([1]Fuel_Specs!$E$20/[1]Fuel_Specs!$B$20*DB4*[1]Fuel_Specs!$F$20*(1-$C$42)*(1-$C$14)*[1]Fuel_Specs!$B$20/((1-$C$42)*(1-$C$14)*[1]Fuel_Specs!$B$20+$C$42*(1-$C$14)*[1]Fuel_Specs!$B$23+$C$14*[1]Fuel_Specs!#REF!))+([1]Fuel_Specs!#REF!/[1]Fuel_Specs!#REF!*DB4*[1]Fuel_Specs!#REF!*$C$14*[1]Fuel_Specs!#REF!/((1-$C$42)*(1-$C$14)*[1]Fuel_Specs!$B$20+$C$42*(1-$C$14)*[1]Fuel_Specs!$B$23+$C$14*[1]Fuel_Specs!#REF!))-((DB10+DB11)*[1]Fuel_Specs!$B$164+DB12*[1]Fuel_Specs!$B$165+DB21*[1]Fuel_Specs!$B$166))/[1]Fuel_Specs!$B$167</f>
        <v>#REF!</v>
      </c>
      <c r="DC23" s="22" t="e">
        <f>(([1]Fuel_Specs!$E$23/[1]Fuel_Specs!$B$23*DC4*[1]Fuel_Specs!$F$23*$C$42*(1-$C$14)*[1]Fuel_Specs!$B$23/((1-$C$42)*(1-$C$14)*[1]Fuel_Specs!$B$20+$C$42*(1-$C$14)*[1]Fuel_Specs!$B$23+$C$14*[1]Fuel_Specs!#REF!))+([1]Fuel_Specs!$E$20/[1]Fuel_Specs!$B$20*DC4*[1]Fuel_Specs!$F$20*(1-$C$42)*(1-$C$14)*[1]Fuel_Specs!$B$20/((1-$C$42)*(1-$C$14)*[1]Fuel_Specs!$B$20+$C$42*(1-$C$14)*[1]Fuel_Specs!$B$23+$C$14*[1]Fuel_Specs!#REF!))+([1]Fuel_Specs!#REF!/[1]Fuel_Specs!#REF!*DC4*[1]Fuel_Specs!#REF!*$C$14*[1]Fuel_Specs!#REF!/((1-$C$42)*(1-$C$14)*[1]Fuel_Specs!$B$20+$C$42*(1-$C$14)*[1]Fuel_Specs!$B$23+$C$14*[1]Fuel_Specs!#REF!))-((DC10+DC11)*[1]Fuel_Specs!$B$164+DC12*[1]Fuel_Specs!$B$165+DC21*[1]Fuel_Specs!$B$166))/[1]Fuel_Specs!$B$167</f>
        <v>#REF!</v>
      </c>
      <c r="DD23" s="20" t="e">
        <f t="shared" ca="1" si="56"/>
        <v>#REF!</v>
      </c>
      <c r="DE23" s="20">
        <v>0</v>
      </c>
      <c r="DF23" s="20" t="e">
        <f ca="1">(([1]Fuel_Specs!$E$23/[1]Fuel_Specs!$B$23*DF4*[1]Fuel_Specs!$F$23*$C$43*(1-$C$15)*[1]Fuel_Specs!$B$23/((1-$C$43)*(1-$C$15)*[1]Fuel_Specs!$B$20+$C$43*(1-$C$15)*[1]Fuel_Specs!$B$23+$C$15*IF([1]Inputs!$E$755=1,[1]Fuel_Specs!#REF!,[1]Fuel_Specs!#REF!)))+([1]Fuel_Specs!$E$20/[1]Fuel_Specs!$B$20*DF4*[1]Fuel_Specs!$F$20*(1-$C$43)*(1-$C$15)*[1]Fuel_Specs!$B$20/((1-$C$43)*(1-$C$15)*[1]Fuel_Specs!$B$20+$C$43*(1-$C$15)*[1]Fuel_Specs!$B$23+$C$15*IF([1]Inputs!$E$755=1,[1]Fuel_Specs!#REF!,[1]Fuel_Specs!#REF!)))+(IF([1]Inputs!$E$755=1,[1]Fuel_Specs!#REF!,[1]Fuel_Specs!#REF!)/IF([1]Inputs!$E$755=1,[1]Fuel_Specs!#REF!,[1]Fuel_Specs!#REF!)*DF4*IF([1]Inputs!$E$755=1,[1]Fuel_Specs!#REF!,[1]Fuel_Specs!#REF!)*$C$15*IF([1]Inputs!$E$755=1,[1]Fuel_Specs!#REF!,[1]Fuel_Specs!#REF!)/((1-$C$43)*(1-$C$15)*[1]Fuel_Specs!$B$20+$C$43*(1-$C$15)*[1]Fuel_Specs!$B$23+$C$15*IF([1]Inputs!$E$755=1,[1]Fuel_Specs!#REF!,[1]Fuel_Specs!#REF!)))-((DF10+DF11)*[1]Fuel_Specs!$B$164+DF12*[1]Fuel_Specs!$B$165+DF21*[1]Fuel_Specs!$B$166))/[1]Fuel_Specs!$B$167</f>
        <v>#REF!</v>
      </c>
      <c r="DG23" s="22" t="e">
        <f>(([1]Fuel_Specs!$E$23/[1]Fuel_Specs!$B$23*DG4*[1]Fuel_Specs!$F$23*$C$43*(1-$C$15)*[1]Fuel_Specs!$B$23/((1-$C$43)*(1-$C$15)*[1]Fuel_Specs!$B$20+$C$43*(1-$C$15)*[1]Fuel_Specs!$B$23+$C$15*IF([1]Inputs!$E$755=1,[1]Fuel_Specs!#REF!,[1]Fuel_Specs!#REF!)))+([1]Fuel_Specs!$E$20/[1]Fuel_Specs!$B$20*DG4*[1]Fuel_Specs!$F$20*(1-$C$43)*(1-$C$15)*[1]Fuel_Specs!$B$20/((1-$C$43)*(1-$C$15)*[1]Fuel_Specs!$B$20+$C$43*(1-$C$15)*[1]Fuel_Specs!$B$23+$C$15*IF([1]Inputs!$E$755=1,[1]Fuel_Specs!#REF!,[1]Fuel_Specs!#REF!)))+(IF([1]Inputs!$E$755=1,[1]Fuel_Specs!#REF!,[1]Fuel_Specs!#REF!)/IF([1]Inputs!$E$755=1,[1]Fuel_Specs!#REF!,[1]Fuel_Specs!#REF!)*DG4*IF([1]Inputs!$E$755=1,[1]Fuel_Specs!#REF!,[1]Fuel_Specs!#REF!)*$C$15*IF([1]Inputs!$E$755=1,[1]Fuel_Specs!#REF!,[1]Fuel_Specs!#REF!)/((1-$C$43)*(1-$C$15)*[1]Fuel_Specs!$B$20+$C$43*(1-$C$15)*[1]Fuel_Specs!$B$23+$C$15*IF([1]Inputs!$E$755=1,[1]Fuel_Specs!#REF!,[1]Fuel_Specs!#REF!)))-((DG10+DG11)*[1]Fuel_Specs!$B$164+DG12*[1]Fuel_Specs!$B$165+DG21*[1]Fuel_Specs!$B$166))/[1]Fuel_Specs!$B$167</f>
        <v>#REF!</v>
      </c>
      <c r="DH23" s="20" t="e">
        <f t="shared" ca="1" si="57"/>
        <v>#REF!</v>
      </c>
      <c r="DI23" s="20">
        <v>0</v>
      </c>
      <c r="DJ23" s="20" t="e">
        <f ca="1">((((1-$C$44)*(1-$C$17-$C$18)*[1]Fuel_Specs!$E$20+$C$44*(1-$C$17-$C$18)*[1]Fuel_Specs!$E$23+$C$17*[1]Fuel_Specs!$E$32+$C$18*[1]Fuel_Specs!$E$35)/((1-$C$44)*(1-$C$17-$C$18)*[1]Fuel_Specs!$B$20+$C$44*(1-$C$17-$C$18)*[1]Fuel_Specs!$B$23+$C$17*[1]Fuel_Specs!$B$32+$C$18*[1]Fuel_Specs!$B$35)*((1-$C$44)*(1-$C$17-$C$18)*[1]Fuel_Specs!$F$20+$C$44*(1-$C$17-$C$18)*[1]Fuel_Specs!$F$23+$C$17*[1]Fuel_Specs!$F$32+$C$18*[1]Fuel_Specs!$F$35)*DJ4)-DJ21*[1]Fuel_Specs!$B$166)/[1]Fuel_Specs!$B$167</f>
        <v>#REF!</v>
      </c>
      <c r="DK23" s="20" t="e">
        <f>((((1-$C$44)*(1-$C$17-$C$18)*[1]Fuel_Specs!$E$20+$C$44*(1-$C$17-$C$18)*[1]Fuel_Specs!$E$23+$C$17*[1]Fuel_Specs!$E$32+$C$18*[1]Fuel_Specs!$E$35)/((1-$C$44)*(1-$C$17-$C$18)*[1]Fuel_Specs!$B$20+$C$44*(1-$C$17-$C$18)*[1]Fuel_Specs!$B$23+$C$17*[1]Fuel_Specs!$B$32+$C$18*[1]Fuel_Specs!$B$35)*((1-$C$44)*(1-$C$17-$C$18)*[1]Fuel_Specs!$F$20+$C$44*(1-$C$17-$C$18)*[1]Fuel_Specs!$F$23+$C$17*[1]Fuel_Specs!$F$32+$C$18*[1]Fuel_Specs!$F$35)*DK4)-DK21*[1]Fuel_Specs!$B$166)/[1]Fuel_Specs!$B$167</f>
        <v>#REF!</v>
      </c>
      <c r="DL23" s="21">
        <v>0</v>
      </c>
      <c r="DM23" s="20">
        <v>0</v>
      </c>
      <c r="DN23" s="20">
        <v>0</v>
      </c>
      <c r="DO23" s="20" t="e">
        <f>([1]Fuel_Specs!$E$31/[1]Fuel_Specs!$B$31*DO4*[1]Fuel_Specs!$F$31-((DO10+DO11)*[1]Fuel_Specs!$B$164+DO12*[1]Fuel_Specs!$B$165+DO21*[1]Fuel_Specs!$B$166))/[1]Fuel_Specs!$B$167</f>
        <v>#REF!</v>
      </c>
      <c r="DP23" s="20" t="e">
        <f>(([1]Fuel_Specs!$E$16/[1]Fuel_Specs!$B$16*DP4*[1]Fuel_Specs!$F$16-((DP10+DP11)*[1]Fuel_Specs!$B$164+DP12*[1]Fuel_Specs!$B$165+DP21*[1]Fuel_Specs!$B$166))/[1]Fuel_Specs!$B$167)</f>
        <v>#REF!</v>
      </c>
      <c r="DQ23" s="20" t="e">
        <f>(([1]Fuel_Specs!$E$17/[1]Fuel_Specs!$B$17*DQ4*[1]Fuel_Specs!$F$17-((DQ10+DQ11)*[1]Fuel_Specs!$B$164+DQ12*[1]Fuel_Specs!$B$165+DQ21*[1]Fuel_Specs!$B$166))/[1]Fuel_Specs!$B$167)</f>
        <v>#REF!</v>
      </c>
      <c r="DR23" s="20" t="e">
        <f>([1]Fuel_Specs!$E$23/[1]Fuel_Specs!$B$23*DR4*[1]Fuel_Specs!$F$23-((DR10+DR11)*[1]Fuel_Specs!$B$164+DR12*[1]Fuel_Specs!$B$165+DR21*[1]Fuel_Specs!$B$166))/[1]Fuel_Specs!$B$167</f>
        <v>#REF!</v>
      </c>
      <c r="DS23" s="20" t="e">
        <f>([1]Fuel_Specs!$E$32/[1]Fuel_Specs!$B$32*DS4*[1]Fuel_Specs!$F$32-((DS10+DS11)*[1]Fuel_Specs!$B$164+DS12*[1]Fuel_Specs!$B$165+DS21*[1]Fuel_Specs!$B$166))/[1]Fuel_Specs!$B$167</f>
        <v>#REF!</v>
      </c>
      <c r="DT23" s="20" t="e">
        <f>([1]Fuel_Specs!$E$81/[1]Fuel_Specs!$B$81*DT4*[1]Fuel_Specs!$F$81-((DT10+DT11)*[1]Fuel_Specs!$B$164+DT12*[1]Fuel_Specs!$B$165+DT21*[1]Fuel_Specs!$B$166))/[1]Fuel_Specs!$B$167</f>
        <v>#REF!</v>
      </c>
      <c r="DU23" s="20" t="e">
        <f>([1]Fuel_Specs!$E$37/[1]Fuel_Specs!$B$37*DU4*[1]Fuel_Specs!$F$37-((DU10+DU11)*[1]Fuel_Specs!$B$164+DU12*[1]Fuel_Specs!$B$165+DU21*[1]Fuel_Specs!$B$166))/[1]Fuel_Specs!$B$167</f>
        <v>#REF!</v>
      </c>
      <c r="DV23" s="20" t="e">
        <f>([1]Fuel_Specs!$E$36/[1]Fuel_Specs!$B$36*DV4*[1]Fuel_Specs!$F$36-((DV10+DV11)*[1]Fuel_Specs!$B$164+DV12*[1]Fuel_Specs!$B$165+DV21*[1]Fuel_Specs!$B$166))/[1]Fuel_Specs!$B$167</f>
        <v>#REF!</v>
      </c>
      <c r="DW23" s="22" t="e">
        <f>(([1]Fuel_Specs!$E$24*[1]Inputs!$G$186+[1]Fuel_Specs!$E$28*[1]Inputs!$F$186)/([1]Fuel_Specs!$B$24*[1]Inputs!$G$186+[1]Fuel_Specs!$B$28*[1]Inputs!$F$186)*DW4*([1]Fuel_Specs!$F$24*[1]Inputs!$G$186+[1]Fuel_Specs!$F$28*[1]Inputs!$F$186)-((DW10+DW11)*[1]Fuel_Specs!$B$164+DW12*[1]Fuel_Specs!$B$165+DW21*[1]Fuel_Specs!$B$166))/[1]Fuel_Specs!$B$167</f>
        <v>#REF!</v>
      </c>
      <c r="DX23" s="20">
        <f t="shared" si="163"/>
        <v>0</v>
      </c>
      <c r="DY23" s="20">
        <v>0</v>
      </c>
      <c r="DZ23" s="20">
        <v>0</v>
      </c>
      <c r="EA23" s="22">
        <v>0</v>
      </c>
      <c r="EB23" s="22" t="e">
        <f>([1]Fuel_Specs!$E$25/[1]Fuel_Specs!$B$25*EB4*[1]Fuel_Specs!$F$25-((EB10+EB11)*[1]Fuel_Specs!$B$164+EB12*[1]Fuel_Specs!$B$165+EB21*[1]Fuel_Specs!$B$166))/[1]Fuel_Specs!$B$167</f>
        <v>#REF!</v>
      </c>
      <c r="EC23" s="20" t="e">
        <f>(([1]Fuel_Specs!$E$16/[1]Fuel_Specs!$B$16*EC4*[1]Fuel_Specs!$F$16*$C$45*(1-$C$20)*[1]Fuel_Specs!$B$16/((1-$C$45)*(1-$C$20)*[1]Fuel_Specs!$B$15+$C$45*(1-$C$20)*[1]Fuel_Specs!$B$16+$C$20*[1]Fuel_Specs!#REF!))+([1]Fuel_Specs!$E$15/[1]Fuel_Specs!$B$15*EC4*[1]Fuel_Specs!$F$15*(1-$C$45)*(1-$C$20)*[1]Fuel_Specs!$B$15/((1-$C$45)*(1-$C$20)*[1]Fuel_Specs!$B$15+$C$45*(1-$C$20)*[1]Fuel_Specs!$B$16+$C$20*[1]Fuel_Specs!#REF!))+([1]Fuel_Specs!#REF!/[1]Fuel_Specs!#REF!*EC4*[1]Fuel_Specs!#REF!*$C$20*[1]Fuel_Specs!#REF!/((1-$C$45)*(1-$C$20)*[1]Fuel_Specs!$B$15+$C$45*(1-$C$20)*[1]Fuel_Specs!$B$16+$C$20*[1]Fuel_Specs!#REF!))-((EC10+EC11)*[1]Fuel_Specs!$B$164+EC12*[1]Fuel_Specs!$B$165+EC21*[1]Fuel_Specs!$B$166))/[1]Fuel_Specs!$B$167</f>
        <v>#REF!</v>
      </c>
      <c r="ED23" s="22" t="e">
        <f>(([1]Fuel_Specs!$E$16/[1]Fuel_Specs!$B$16*ED4*[1]Fuel_Specs!$F$16*$C$46*(1-$C$21)*[1]Fuel_Specs!$B$16/((1-$C$46)*(1-$C$21)*[1]Fuel_Specs!$B$15+$C$46*(1-$C$21)*[1]Fuel_Specs!$B$16+$C$21*[1]Fuel_Specs!#REF!))+([1]Fuel_Specs!$E$15/[1]Fuel_Specs!$B$15*ED4*[1]Fuel_Specs!$F$15*(1-$C$46)*(1-$C$21)*[1]Fuel_Specs!$B$15/((1-$C$46)*(1-$C$21)*[1]Fuel_Specs!$B$15+$C$46*(1-$C$21)*[1]Fuel_Specs!$B$16+$C$21*[1]Fuel_Specs!#REF!))+([1]Fuel_Specs!#REF!/[1]Fuel_Specs!#REF!*ED4*[1]Fuel_Specs!#REF!*$C$21*[1]Fuel_Specs!#REF!/((1-$C$46)*(1-$C$21)*[1]Fuel_Specs!$B$15+$C$46*(1-$C$21)*[1]Fuel_Specs!$B$16+$C$21*[1]Fuel_Specs!#REF!))-((ED10+ED11)*[1]Fuel_Specs!$B$164+ED12*[1]Fuel_Specs!$B$165+ED21*[1]Fuel_Specs!$B$166))/[1]Fuel_Specs!$B$167</f>
        <v>#REF!</v>
      </c>
      <c r="EE23" s="31" t="e">
        <f>(([1]Fuel_Specs!$E$16/[1]Fuel_Specs!$B$16*EE4*[1]Fuel_Specs!$F$16*$C$47*(1-$C$22)*[1]Fuel_Specs!$B$16/((1-$C$47)*(1-$C$22)*[1]Fuel_Specs!$B$15+$C$47*(1-$C$22)*[1]Fuel_Specs!$B$16+$C$22*[1]Fuel_Specs!#REF!))+([1]Fuel_Specs!$E$15/[1]Fuel_Specs!$B$15*EE4*[1]Fuel_Specs!$F$15*(1-$C$47)*(1-$C$22)*[1]Fuel_Specs!$B$15/((1-$C$47)*(1-$C$22)*[1]Fuel_Specs!$B$15+$C$47*(1-$C$22)*[1]Fuel_Specs!$B$16+$C$22*[1]Fuel_Specs!#REF!))+([1]Fuel_Specs!#REF!/[1]Fuel_Specs!#REF!*EE4*[1]Fuel_Specs!#REF!*$C$22*[1]Fuel_Specs!#REF!/((1-$C$47)*(1-$C$22)*[1]Fuel_Specs!$B$15+$C$47*(1-$C$22)*[1]Fuel_Specs!$B$16+$C$22*[1]Fuel_Specs!#REF!))-((EE10+EE11)*[1]Fuel_Specs!$B$164+EE12*[1]Fuel_Specs!$B$165+EE21*[1]Fuel_Specs!$B$166))/[1]Fuel_Specs!$B$167</f>
        <v>#REF!</v>
      </c>
    </row>
    <row r="24" spans="1:135" x14ac:dyDescent="0.25">
      <c r="A24" s="5" t="s">
        <v>141</v>
      </c>
      <c r="B24" s="20" t="e">
        <f>B23+(B10+B11)*[1]Fuel_Specs!$B$164/[1]Fuel_Specs!$B$167+B12*[1]Fuel_Specs!$B$165/[1]Fuel_Specs!$B$167</f>
        <v>#DIV/0!</v>
      </c>
      <c r="C24" s="20" t="e">
        <f>C23+(C10+C11)*[1]Fuel_Specs!$B$164/[1]Fuel_Specs!$B$167+C12*[1]Fuel_Specs!$B$165/[1]Fuel_Specs!$B$167</f>
        <v>#REF!</v>
      </c>
      <c r="D24" s="20" t="e">
        <f>D23+(D10+D11)*[1]Fuel_Specs!$B$164/[1]Fuel_Specs!$B$167+D12*[1]Fuel_Specs!$B$165/[1]Fuel_Specs!$B$167</f>
        <v>#REF!</v>
      </c>
      <c r="E24" s="20" t="e">
        <f>E23+(E10+E11)*[1]Fuel_Specs!$B$164/[1]Fuel_Specs!$B$167+E12*[1]Fuel_Specs!$B$165/[1]Fuel_Specs!$B$167</f>
        <v>#REF!</v>
      </c>
      <c r="F24" s="20" t="e">
        <f>F23+(F10+F11)*[1]Fuel_Specs!$B$164/[1]Fuel_Specs!$B$167+F12*[1]Fuel_Specs!$B$165/[1]Fuel_Specs!$B$167</f>
        <v>#REF!</v>
      </c>
      <c r="G24" s="20" t="e">
        <f>G23+(G10+G11)*[1]Fuel_Specs!$B$164/[1]Fuel_Specs!$B$167+G12*[1]Fuel_Specs!$B$165/[1]Fuel_Specs!$B$167</f>
        <v>#REF!</v>
      </c>
      <c r="H24" s="20" t="e">
        <f>H23+(H10+H11)*[1]Fuel_Specs!$B$164/[1]Fuel_Specs!$B$167+H12*[1]Fuel_Specs!$B$165/[1]Fuel_Specs!$B$167</f>
        <v>#REF!</v>
      </c>
      <c r="I24" s="20" t="e">
        <f>I23+(I10+I11)*[1]Fuel_Specs!$B$164/[1]Fuel_Specs!$B$167+I12*[1]Fuel_Specs!$B$165/[1]Fuel_Specs!$B$167</f>
        <v>#REF!</v>
      </c>
      <c r="J24" s="20" t="e">
        <f>J23+(J10+J11)*[1]Fuel_Specs!$B$164/[1]Fuel_Specs!$B$167+J12*[1]Fuel_Specs!$B$165/[1]Fuel_Specs!$B$167</f>
        <v>#REF!</v>
      </c>
      <c r="K24" s="20" t="e">
        <f>K23+(K10+K11)*[1]Fuel_Specs!$B$164/[1]Fuel_Specs!$B$167+K12*[1]Fuel_Specs!$B$165/[1]Fuel_Specs!$B$167</f>
        <v>#REF!</v>
      </c>
      <c r="L24" s="20" t="e">
        <f>L23+(L10+L11)*[1]Fuel_Specs!$B$164/[1]Fuel_Specs!$B$167+L12*[1]Fuel_Specs!$B$165/[1]Fuel_Specs!$B$167</f>
        <v>#REF!</v>
      </c>
      <c r="M24" s="20" t="e">
        <f>M23+(M10+M11)*[1]Fuel_Specs!$B$164/[1]Fuel_Specs!$B$167+M12*[1]Fuel_Specs!$B$165/[1]Fuel_Specs!$B$167</f>
        <v>#REF!</v>
      </c>
      <c r="N24" s="20" t="e">
        <f>N23+(N10+N11)*[1]Fuel_Specs!$B$164/[1]Fuel_Specs!$B$167+N12*[1]Fuel_Specs!$B$165/[1]Fuel_Specs!$B$167</f>
        <v>#REF!</v>
      </c>
      <c r="O24" s="20" t="e">
        <f>O23+(O10+O11)*[1]Fuel_Specs!$B$164/[1]Fuel_Specs!$B$167+O12*[1]Fuel_Specs!$B$165/[1]Fuel_Specs!$B$167</f>
        <v>#REF!</v>
      </c>
      <c r="P24" s="20" t="e">
        <f>P23+(P10+P11)*[1]Fuel_Specs!$B$164/[1]Fuel_Specs!$B$167+P12*[1]Fuel_Specs!$B$165/[1]Fuel_Specs!$B$167</f>
        <v>#REF!</v>
      </c>
      <c r="Q24" s="20" t="e">
        <f>Q23+(Q10+Q11)*[1]Fuel_Specs!$B$164/[1]Fuel_Specs!$B$167+Q12*[1]Fuel_Specs!$B$165/[1]Fuel_Specs!$B$167</f>
        <v>#REF!</v>
      </c>
      <c r="R24" s="20" t="e">
        <f>R23+(R10+R11)*[1]Fuel_Specs!$B$164/[1]Fuel_Specs!$B$167+R12*[1]Fuel_Specs!$B$165/[1]Fuel_Specs!$B$167</f>
        <v>#REF!</v>
      </c>
      <c r="S24" s="20" t="e">
        <f>S23+(S10+S11)*[1]Fuel_Specs!$B$164/[1]Fuel_Specs!$B$167+S12*[1]Fuel_Specs!$B$165/[1]Fuel_Specs!$B$167</f>
        <v>#REF!</v>
      </c>
      <c r="T24" s="20" t="e">
        <f>T23+(T10+T11)*[1]Fuel_Specs!$B$164/[1]Fuel_Specs!$B$167+T12*[1]Fuel_Specs!$B$165/[1]Fuel_Specs!$B$167</f>
        <v>#REF!</v>
      </c>
      <c r="U24" s="20" t="e">
        <f>U23+(U10+U11)*[1]Fuel_Specs!$B$164/[1]Fuel_Specs!$B$167+U12*[1]Fuel_Specs!$B$165/[1]Fuel_Specs!$B$167</f>
        <v>#REF!</v>
      </c>
      <c r="V24" s="21" t="e">
        <f>V23+(V10+V11)*[1]Fuel_Specs!$B$164/[1]Fuel_Specs!$B$167+V12*[1]Fuel_Specs!$B$165/[1]Fuel_Specs!$B$167</f>
        <v>#REF!</v>
      </c>
      <c r="W24" s="20" t="e">
        <f>W23+(W10+W11)*[1]Fuel_Specs!$B$164/[1]Fuel_Specs!$B$167+W12*[1]Fuel_Specs!$B$165/[1]Fuel_Specs!$B$167</f>
        <v>#REF!</v>
      </c>
      <c r="X24" s="20" t="e">
        <f>X23+(X10+X11)*[1]Fuel_Specs!$B$164/[1]Fuel_Specs!$B$167+X12*[1]Fuel_Specs!$B$165/[1]Fuel_Specs!$B$167</f>
        <v>#REF!</v>
      </c>
      <c r="Y24" s="20" t="e">
        <f>Y23+(Y10+Y11)*[1]Fuel_Specs!$B$164/[1]Fuel_Specs!$B$167+Y12*[1]Fuel_Specs!$B$165/[1]Fuel_Specs!$B$167</f>
        <v>#REF!</v>
      </c>
      <c r="Z24" s="22" t="e">
        <f>Z23+(Z10+Z11)*[1]Fuel_Specs!$B$164/[1]Fuel_Specs!$B$167+Z12*[1]Fuel_Specs!$B$165/[1]Fuel_Specs!$B$167</f>
        <v>#REF!</v>
      </c>
      <c r="AA24" s="20" t="e">
        <f>AA23+(AA10+AA11)*[1]Fuel_Specs!$B$164/[1]Fuel_Specs!$B$167+AA12*[1]Fuel_Specs!$B$165/[1]Fuel_Specs!$B$167</f>
        <v>#REF!</v>
      </c>
      <c r="AB24" s="20" t="e">
        <f>AB23+(AB10+AB11)*[1]Fuel_Specs!$B$164/[1]Fuel_Specs!$B$167+AB12*[1]Fuel_Specs!$B$165/[1]Fuel_Specs!$B$167</f>
        <v>#REF!</v>
      </c>
      <c r="AC24" s="20" t="e">
        <f>AC23+(AC10+AC11)*[1]Fuel_Specs!$B$164/[1]Fuel_Specs!$B$167+AC12*[1]Fuel_Specs!$B$165/[1]Fuel_Specs!$B$167</f>
        <v>#REF!</v>
      </c>
      <c r="AD24" s="20" t="e">
        <f>AD23+(AD10+AD11)*[1]Fuel_Specs!$B$164/[1]Fuel_Specs!$B$167+AD12*[1]Fuel_Specs!$B$165/[1]Fuel_Specs!$B$167</f>
        <v>#REF!</v>
      </c>
      <c r="AE24" s="20" t="e">
        <f>AE23+(AE10+AE11)*[1]Fuel_Specs!$B$164/[1]Fuel_Specs!$B$167+AE12*[1]Fuel_Specs!$B$165/[1]Fuel_Specs!$B$167</f>
        <v>#REF!</v>
      </c>
      <c r="AF24" s="20" t="e">
        <f>AF23+(AF10+AF11)*[1]Fuel_Specs!$B$164/[1]Fuel_Specs!$B$167+AF12*[1]Fuel_Specs!$B$165/[1]Fuel_Specs!$B$167</f>
        <v>#REF!</v>
      </c>
      <c r="AG24" s="20" t="e">
        <f>AG23+(AG10+AG11)*[1]Fuel_Specs!$B$164/[1]Fuel_Specs!$B$167+AG12*[1]Fuel_Specs!$B$165/[1]Fuel_Specs!$B$167</f>
        <v>#REF!</v>
      </c>
      <c r="AH24" s="21" t="e">
        <f>AH23+(AH10+AH11)*[1]Fuel_Specs!$B$164/[1]Fuel_Specs!$B$167+AH12*[1]Fuel_Specs!$B$165/[1]Fuel_Specs!$B$167</f>
        <v>#REF!</v>
      </c>
      <c r="AI24" s="20" t="e">
        <f>AI23+(AI10+AI11)*[1]Fuel_Specs!$B$164/[1]Fuel_Specs!$B$167+AI12*[1]Fuel_Specs!$B$165/[1]Fuel_Specs!$B$167</f>
        <v>#REF!</v>
      </c>
      <c r="AJ24" s="20" t="e">
        <f>AJ23+(AJ10+AJ11)*[1]Fuel_Specs!$B$164/[1]Fuel_Specs!$B$167+AJ12*[1]Fuel_Specs!$B$165/[1]Fuel_Specs!$B$167</f>
        <v>#REF!</v>
      </c>
      <c r="AK24" s="20" t="e">
        <f>AK23+(AK10+AK11)*[1]Fuel_Specs!$B$164/[1]Fuel_Specs!$B$167+AK12*[1]Fuel_Specs!$B$165/[1]Fuel_Specs!$B$167</f>
        <v>#REF!</v>
      </c>
      <c r="AL24" s="20" t="e">
        <f>AL23+(AL10+AL11)*[1]Fuel_Specs!$B$164/[1]Fuel_Specs!$B$167+AL12*[1]Fuel_Specs!$B$165/[1]Fuel_Specs!$B$167</f>
        <v>#REF!</v>
      </c>
      <c r="AM24" s="20" t="e">
        <f>AM23+(AM10+AM11)*[1]Fuel_Specs!$B$164/[1]Fuel_Specs!$B$167+AM12*[1]Fuel_Specs!$B$165/[1]Fuel_Specs!$B$167</f>
        <v>#REF!</v>
      </c>
      <c r="AN24" s="20" t="e">
        <f>AN23+(AN10+AN11)*[1]Fuel_Specs!$B$164/[1]Fuel_Specs!$B$167+AN12*[1]Fuel_Specs!$B$165/[1]Fuel_Specs!$B$167</f>
        <v>#REF!</v>
      </c>
      <c r="AO24" s="20" t="e">
        <f>AO23+(AO10+AO11)*[1]Fuel_Specs!$B$164/[1]Fuel_Specs!$B$167+AO12*[1]Fuel_Specs!$B$165/[1]Fuel_Specs!$B$167</f>
        <v>#REF!</v>
      </c>
      <c r="AP24" s="20" t="e">
        <f>AP23+(AP10+AP11)*[1]Fuel_Specs!$B$164/[1]Fuel_Specs!$B$167+AP12*[1]Fuel_Specs!$B$165/[1]Fuel_Specs!$B$167</f>
        <v>#REF!</v>
      </c>
      <c r="AQ24" s="20" t="e">
        <f>AQ23+(AQ10+AQ11)*[1]Fuel_Specs!$B$164/[1]Fuel_Specs!$B$167+AQ12*[1]Fuel_Specs!$B$165/[1]Fuel_Specs!$B$167</f>
        <v>#REF!</v>
      </c>
      <c r="AR24" s="22" t="e">
        <f>AR23+(AR10+AR11)*[1]Fuel_Specs!$B$164/[1]Fuel_Specs!$B$167+AR12*[1]Fuel_Specs!$B$165/[1]Fuel_Specs!$B$167</f>
        <v>#REF!</v>
      </c>
      <c r="AS24" s="20" t="e">
        <f t="shared" ca="1" si="99"/>
        <v>#REF!</v>
      </c>
      <c r="AT24" s="20" t="e">
        <f>AT23+(AT10+AT11)*[1]Fuel_Specs!$B$164/[1]Fuel_Specs!$B$167+AT12*[1]Fuel_Specs!$B$165/[1]Fuel_Specs!$B$167</f>
        <v>#REF!</v>
      </c>
      <c r="AU24" s="20" t="e">
        <f ca="1">AU23+(AU10+AU11)*[1]Fuel_Specs!$B$164/[1]Fuel_Specs!$B$167+AU12*[1]Fuel_Specs!$B$165/[1]Fuel_Specs!$B$167</f>
        <v>#REF!</v>
      </c>
      <c r="AV24" s="20" t="e">
        <f>AV23+(AV10+AV11)*[1]Fuel_Specs!$B$164/[1]Fuel_Specs!$B$167+AV12*[1]Fuel_Specs!$B$165/[1]Fuel_Specs!$B$167</f>
        <v>#REF!</v>
      </c>
      <c r="AW24" s="21" t="e">
        <f t="shared" ca="1" si="103"/>
        <v>#REF!</v>
      </c>
      <c r="AX24" s="20" t="e">
        <f>AX23+(AX10+AX11)*[1]Fuel_Specs!$B$164/[1]Fuel_Specs!$B$167+AX12*[1]Fuel_Specs!$B$165/[1]Fuel_Specs!$B$167</f>
        <v>#REF!</v>
      </c>
      <c r="AY24" s="20" t="e">
        <f ca="1">AY23+(AY10+AY11)*[1]Fuel_Specs!$B$164/[1]Fuel_Specs!$B$167+AY12*[1]Fuel_Specs!$B$165/[1]Fuel_Specs!$B$167</f>
        <v>#REF!</v>
      </c>
      <c r="AZ24" s="22" t="e">
        <f>AZ23+(AZ10+AZ11)*[1]Fuel_Specs!$B$164/[1]Fuel_Specs!$B$167+AZ12*[1]Fuel_Specs!$B$165/[1]Fuel_Specs!$B$167</f>
        <v>#REF!</v>
      </c>
      <c r="BA24" s="21" t="e">
        <f t="shared" ca="1" si="58"/>
        <v>#REF!</v>
      </c>
      <c r="BB24" s="20" t="e">
        <f>BB23+(BB10+BB11)*[1]Fuel_Specs!$B$164/[1]Fuel_Specs!$B$167+BB12*[1]Fuel_Specs!$B$165/[1]Fuel_Specs!$B$167</f>
        <v>#REF!</v>
      </c>
      <c r="BC24" s="20" t="e">
        <f ca="1">BC23+(BC10+BC11)*[1]Fuel_Specs!$B$164/[1]Fuel_Specs!$B$167+BC12*[1]Fuel_Specs!$B$165/[1]Fuel_Specs!$B$167</f>
        <v>#REF!</v>
      </c>
      <c r="BD24" s="22" t="e">
        <f>BD23+(BD10+BD11)*[1]Fuel_Specs!$B$164/[1]Fuel_Specs!$B$167+BD12*[1]Fuel_Specs!$B$165/[1]Fuel_Specs!$B$167</f>
        <v>#REF!</v>
      </c>
      <c r="BE24" s="20" t="e">
        <f t="shared" ca="1" si="110"/>
        <v>#REF!</v>
      </c>
      <c r="BF24" s="20" t="e">
        <f>BF23+(BF10+BF11)*[1]Fuel_Specs!$B$164/[1]Fuel_Specs!$B$167+BF12*[1]Fuel_Specs!$B$165/[1]Fuel_Specs!$B$167</f>
        <v>#REF!</v>
      </c>
      <c r="BG24" s="20" t="e">
        <f ca="1">BG23+(BG10+BG11)*[1]Fuel_Specs!$B$164/[1]Fuel_Specs!$B$167+BG12*[1]Fuel_Specs!$B$165/[1]Fuel_Specs!$B$167</f>
        <v>#REF!</v>
      </c>
      <c r="BH24" s="20" t="e">
        <f>BH23+(BH10+BH11)*[1]Fuel_Specs!$B$164/[1]Fuel_Specs!$B$167+BH12*[1]Fuel_Specs!$B$165/[1]Fuel_Specs!$B$167</f>
        <v>#REF!</v>
      </c>
      <c r="BI24" s="21" t="e">
        <f t="shared" ca="1" si="113"/>
        <v>#REF!</v>
      </c>
      <c r="BJ24" s="20" t="e">
        <f>BJ23+(BJ10+BJ11)*[1]Fuel_Specs!$B$164/[1]Fuel_Specs!$B$167+BJ12*[1]Fuel_Specs!$B$165/[1]Fuel_Specs!$B$167</f>
        <v>#REF!</v>
      </c>
      <c r="BK24" s="20" t="e">
        <f ca="1">BK23+(BK10+BK11)*[1]Fuel_Specs!$B$164/[1]Fuel_Specs!$B$167+BK12*[1]Fuel_Specs!$B$165/[1]Fuel_Specs!$B$167</f>
        <v>#REF!</v>
      </c>
      <c r="BL24" s="22" t="e">
        <f>BL23+(BL10+BL11)*[1]Fuel_Specs!$B$164/[1]Fuel_Specs!$B$167+BL12*[1]Fuel_Specs!$B$165/[1]Fuel_Specs!$B$167</f>
        <v>#REF!</v>
      </c>
      <c r="BM24" s="20" t="e">
        <f t="shared" ca="1" si="116"/>
        <v>#REF!</v>
      </c>
      <c r="BN24" s="20" t="e">
        <f>BN23+(BN10+BN11)*[1]Fuel_Specs!$B$164/[1]Fuel_Specs!$B$167+BN12*[1]Fuel_Specs!$B$165/[1]Fuel_Specs!$B$167</f>
        <v>#REF!</v>
      </c>
      <c r="BO24" s="20" t="e">
        <f ca="1">BO23+(BO10+BO11)*[1]Fuel_Specs!$B$164/[1]Fuel_Specs!$B$167+BO12*[1]Fuel_Specs!$B$165/[1]Fuel_Specs!$B$167</f>
        <v>#REF!</v>
      </c>
      <c r="BP24" s="20" t="e">
        <f>BP23+(BP10+BP11)*[1]Fuel_Specs!$B$164/[1]Fuel_Specs!$B$167+BP12*[1]Fuel_Specs!$B$165/[1]Fuel_Specs!$B$167</f>
        <v>#REF!</v>
      </c>
      <c r="BQ24" s="21" t="e">
        <f t="shared" ca="1" si="119"/>
        <v>#REF!</v>
      </c>
      <c r="BR24" s="20" t="e">
        <f>BR23+(BR10+BR11)*[1]Fuel_Specs!$B$164/[1]Fuel_Specs!$B$167+BR12*[1]Fuel_Specs!$B$165/[1]Fuel_Specs!$B$167</f>
        <v>#REF!</v>
      </c>
      <c r="BS24" s="20" t="e">
        <f ca="1">BS23+(BS10+BS11)*[1]Fuel_Specs!$B$164/[1]Fuel_Specs!$B$167+BS12*[1]Fuel_Specs!$B$165/[1]Fuel_Specs!$B$167</f>
        <v>#REF!</v>
      </c>
      <c r="BT24" s="22" t="e">
        <f>BT23+(BT10+BT11)*[1]Fuel_Specs!$B$164/[1]Fuel_Specs!$B$167+BT12*[1]Fuel_Specs!$B$165/[1]Fuel_Specs!$B$167</f>
        <v>#REF!</v>
      </c>
      <c r="BU24" s="20" t="e">
        <f t="shared" ca="1" si="122"/>
        <v>#REF!</v>
      </c>
      <c r="BV24" s="20" t="e">
        <f>BV23+(BV10+BV11)*[1]Fuel_Specs!$B$164/[1]Fuel_Specs!$B$167+BV12*[1]Fuel_Specs!$B$165/[1]Fuel_Specs!$B$167</f>
        <v>#REF!</v>
      </c>
      <c r="BW24" s="20" t="e">
        <f ca="1">BW23+(BW10+BW11)*[1]Fuel_Specs!$B$164/[1]Fuel_Specs!$B$167+BW12*[1]Fuel_Specs!$B$165/[1]Fuel_Specs!$B$167</f>
        <v>#REF!</v>
      </c>
      <c r="BX24" s="20" t="e">
        <f>BX23+(BX10+BX11)*[1]Fuel_Specs!$B$164/[1]Fuel_Specs!$B$167+BX12*[1]Fuel_Specs!$B$165/[1]Fuel_Specs!$B$167</f>
        <v>#REF!</v>
      </c>
      <c r="BY24" s="21" t="e">
        <f t="shared" ca="1" si="125"/>
        <v>#REF!</v>
      </c>
      <c r="BZ24" s="20" t="e">
        <f>BZ23+(BZ10+BZ11)*[1]Fuel_Specs!$B$164/[1]Fuel_Specs!$B$167+BZ12*[1]Fuel_Specs!$B$165/[1]Fuel_Specs!$B$167</f>
        <v>#REF!</v>
      </c>
      <c r="CA24" s="20" t="e">
        <f ca="1">CA23+(CA10+CA11)*[1]Fuel_Specs!$B95/[1]Fuel_Specs!$B98+CA12*[1]Fuel_Specs!$B96/[1]Fuel_Specs!$B98</f>
        <v>#REF!</v>
      </c>
      <c r="CB24" s="22" t="e">
        <f>CB23+(CB10+CB11)*[1]Fuel_Specs!$B$164/[1]Fuel_Specs!$B$167+CB12*[1]Fuel_Specs!$B$165/[1]Fuel_Specs!$B$167</f>
        <v>#REF!</v>
      </c>
      <c r="CC24" s="20" t="e">
        <f t="shared" ca="1" si="128"/>
        <v>#REF!</v>
      </c>
      <c r="CD24" s="20" t="e">
        <f>CD23+(CD10+CD11)*[1]Fuel_Specs!$B$164/[1]Fuel_Specs!$B$167+CD12*[1]Fuel_Specs!$B$165/[1]Fuel_Specs!$B$167</f>
        <v>#REF!</v>
      </c>
      <c r="CE24" s="20" t="e">
        <f ca="1">CE23+(CE10+CE11)*[1]Fuel_Specs!$B$164/[1]Fuel_Specs!$B$167+CE12*[1]Fuel_Specs!$B$165/[1]Fuel_Specs!$B$167</f>
        <v>#REF!</v>
      </c>
      <c r="CF24" s="20" t="e">
        <f>CF23+(CF10+CF11)*[1]Fuel_Specs!$B$164/[1]Fuel_Specs!$B$167+CF12*[1]Fuel_Specs!$B$165/[1]Fuel_Specs!$B$167</f>
        <v>#REF!</v>
      </c>
      <c r="CG24" s="20" t="e">
        <f>CG23+(CG10+CG11)*[1]Fuel_Specs!$B$164/[1]Fuel_Specs!$B$167+CG12*[1]Fuel_Specs!$B$165/[1]Fuel_Specs!$B$167</f>
        <v>#REF!</v>
      </c>
      <c r="CH24" s="21" t="e">
        <f>CH23+(CH10+CH11)*[1]Fuel_Specs!$B$164/[1]Fuel_Specs!$B$167+CH12*[1]Fuel_Specs!$B$165/[1]Fuel_Specs!$B$167</f>
        <v>#REF!</v>
      </c>
      <c r="CI24" s="20" t="e">
        <f>CI23+(CI10+CI11)*[1]Fuel_Specs!$B$164/[1]Fuel_Specs!$B$167+CI12*[1]Fuel_Specs!$B$165/[1]Fuel_Specs!$B$167</f>
        <v>#REF!</v>
      </c>
      <c r="CJ24" s="20" t="e">
        <f>CJ23+(CJ10+CJ11)*[1]Fuel_Specs!$B$164/[1]Fuel_Specs!$B$167+CJ12*[1]Fuel_Specs!$B$165/[1]Fuel_Specs!$B$167</f>
        <v>#REF!</v>
      </c>
      <c r="CK24" s="20" t="e">
        <f>CK23+(CK10+CK11)*[1]Fuel_Specs!$B$164/[1]Fuel_Specs!$B$167+CK12*[1]Fuel_Specs!$B$165/[1]Fuel_Specs!$B$167</f>
        <v>#REF!</v>
      </c>
      <c r="CL24" s="20" t="e">
        <f>CL23+(CL10+CL11)*[1]Fuel_Specs!$B$164/[1]Fuel_Specs!$B$167+CL12*[1]Fuel_Specs!$B$165/[1]Fuel_Specs!$B$167</f>
        <v>#REF!</v>
      </c>
      <c r="CM24" s="22" t="e">
        <f>CM23+(CM10+CM11)*[1]Fuel_Specs!$B$164/[1]Fuel_Specs!$B$167+CM12*[1]Fuel_Specs!$B$165/[1]Fuel_Specs!$B$167</f>
        <v>#REF!</v>
      </c>
      <c r="CN24" s="20" t="e">
        <f t="shared" ca="1" si="138"/>
        <v>#REF!</v>
      </c>
      <c r="CO24" s="20" t="e">
        <f>CO23+(CO10+CO11)*[1]Fuel_Specs!$B$164/[1]Fuel_Specs!$B$167+CO12*[1]Fuel_Specs!$B$165/[1]Fuel_Specs!$B$167</f>
        <v>#REF!</v>
      </c>
      <c r="CP24" s="20" t="e">
        <f ca="1">CP23+(CP10+CP11)*[1]Fuel_Specs!$B$164/[1]Fuel_Specs!$B$167+CP12*[1]Fuel_Specs!$B$165/[1]Fuel_Specs!$B$167</f>
        <v>#REF!</v>
      </c>
      <c r="CQ24" s="20" t="e">
        <f>CQ23+(CQ10+CQ11)*[1]Fuel_Specs!$B$164/[1]Fuel_Specs!$B$167+CQ12*[1]Fuel_Specs!$B$165/[1]Fuel_Specs!$B$167</f>
        <v>#REF!</v>
      </c>
      <c r="CR24" s="21" t="e">
        <f t="shared" ca="1" si="53"/>
        <v>#REF!</v>
      </c>
      <c r="CS24" s="20" t="e">
        <f>CS23+(CS10+CS11)*[1]Fuel_Specs!$B$164/[1]Fuel_Specs!$B$167+CS12*[1]Fuel_Specs!$B$165/[1]Fuel_Specs!$B$167</f>
        <v>#REF!</v>
      </c>
      <c r="CT24" s="20" t="e">
        <f ca="1">CT23+(CT10+CT11)*[1]Fuel_Specs!$B$164/[1]Fuel_Specs!$B$167+CT12*[1]Fuel_Specs!$B$165/[1]Fuel_Specs!$B$167</f>
        <v>#REF!</v>
      </c>
      <c r="CU24" s="22" t="e">
        <f>CU23+(CU10+CU11)*[1]Fuel_Specs!$B$164/[1]Fuel_Specs!$B$167+CU12*[1]Fuel_Specs!$B$165/[1]Fuel_Specs!$B$167</f>
        <v>#REF!</v>
      </c>
      <c r="CV24" s="20" t="e">
        <f t="shared" ca="1" si="54"/>
        <v>#REF!</v>
      </c>
      <c r="CW24" s="20" t="e">
        <f>CW23+(CW10+CW11)*[1]Fuel_Specs!$B$164/[1]Fuel_Specs!$B$167+CW12*[1]Fuel_Specs!$B$165/[1]Fuel_Specs!$B$167</f>
        <v>#REF!</v>
      </c>
      <c r="CX24" s="20" t="e">
        <f ca="1">CX23+(CX10+CX11)*[1]Fuel_Specs!$B$164/[1]Fuel_Specs!$B$167+CX12*[1]Fuel_Specs!$B$165/[1]Fuel_Specs!$B$167</f>
        <v>#REF!</v>
      </c>
      <c r="CY24" s="20" t="e">
        <f>CY23+(CY10+CY11)*[1]Fuel_Specs!$B$164/[1]Fuel_Specs!$B$167+CY12*[1]Fuel_Specs!$B$165/[1]Fuel_Specs!$B$167</f>
        <v>#REF!</v>
      </c>
      <c r="CZ24" s="21" t="e">
        <f t="shared" ca="1" si="55"/>
        <v>#REF!</v>
      </c>
      <c r="DA24" s="20" t="e">
        <f>DA23+(DA10+DA11)*[1]Fuel_Specs!$B$164/[1]Fuel_Specs!$B$167+DA12*[1]Fuel_Specs!$B$165/[1]Fuel_Specs!$B$167</f>
        <v>#REF!</v>
      </c>
      <c r="DB24" s="20" t="e">
        <f ca="1">DB23+(DB10+DB11)*[1]Fuel_Specs!$B$164/[1]Fuel_Specs!$B$167+DB12*[1]Fuel_Specs!$B$165/[1]Fuel_Specs!$B$167</f>
        <v>#REF!</v>
      </c>
      <c r="DC24" s="22" t="e">
        <f>DC23+(DC10+DC11)*[1]Fuel_Specs!$B$164/[1]Fuel_Specs!$B$167+DC12*[1]Fuel_Specs!$B$165/[1]Fuel_Specs!$B$167</f>
        <v>#REF!</v>
      </c>
      <c r="DD24" s="20" t="e">
        <f t="shared" ca="1" si="56"/>
        <v>#REF!</v>
      </c>
      <c r="DE24" s="20" t="e">
        <f>DE23+(DE10+DE11)*[1]Fuel_Specs!$B$164/[1]Fuel_Specs!$B$167+DE12*[1]Fuel_Specs!$B$165/[1]Fuel_Specs!$B$167</f>
        <v>#REF!</v>
      </c>
      <c r="DF24" s="20" t="e">
        <f ca="1">DF23+(DF10+DF11)*[1]Fuel_Specs!$B$164/[1]Fuel_Specs!$B$167+DF12*[1]Fuel_Specs!$B$165/[1]Fuel_Specs!$B$167</f>
        <v>#REF!</v>
      </c>
      <c r="DG24" s="22" t="e">
        <f>DG23+(DG10+DG11)*[1]Fuel_Specs!$B$164/[1]Fuel_Specs!$B$167+DG12*[1]Fuel_Specs!$B$165/[1]Fuel_Specs!$B$167</f>
        <v>#REF!</v>
      </c>
      <c r="DH24" s="20" t="e">
        <f t="shared" ca="1" si="57"/>
        <v>#REF!</v>
      </c>
      <c r="DI24" s="20" t="e">
        <f>DI23+(DI10+DI11)*[1]Fuel_Specs!$B$164/[1]Fuel_Specs!$B$167+DI12*[1]Fuel_Specs!$B$165/[1]Fuel_Specs!$B$167</f>
        <v>#REF!</v>
      </c>
      <c r="DJ24" s="20" t="e">
        <f ca="1">DJ23+(DJ10+DJ11)*[1]Fuel_Specs!$B$164/[1]Fuel_Specs!$B$167+DJ12*[1]Fuel_Specs!$B$165/[1]Fuel_Specs!$B$167</f>
        <v>#REF!</v>
      </c>
      <c r="DK24" s="20" t="e">
        <f>DK23+(DK10+DK11)*[1]Fuel_Specs!$B$164/[1]Fuel_Specs!$B$167+DK12*[1]Fuel_Specs!$B$165/[1]Fuel_Specs!$B$167</f>
        <v>#REF!</v>
      </c>
      <c r="DL24" s="21" t="e">
        <f>DL23+(DL10+DL11)*[1]Fuel_Specs!$B$164/[1]Fuel_Specs!$B$167+DL12*[1]Fuel_Specs!$B$165/[1]Fuel_Specs!$B$167</f>
        <v>#REF!</v>
      </c>
      <c r="DM24" s="20" t="e">
        <f>DM23+(DM10+DM11)*[1]Fuel_Specs!$B$164/[1]Fuel_Specs!$B$167+DM12*[1]Fuel_Specs!$B$165/[1]Fuel_Specs!$B$167</f>
        <v>#REF!</v>
      </c>
      <c r="DN24" s="20" t="e">
        <f>DN23+(DN10+DN11)*[1]Fuel_Specs!$B$164/[1]Fuel_Specs!$B$167+DN12*[1]Fuel_Specs!$B$165/[1]Fuel_Specs!$B$167</f>
        <v>#REF!</v>
      </c>
      <c r="DO24" s="20" t="e">
        <f>DO23+(DO10+DO11)*[1]Fuel_Specs!$B$164/[1]Fuel_Specs!$B$167+DO12*[1]Fuel_Specs!$B$165/[1]Fuel_Specs!$B$167</f>
        <v>#REF!</v>
      </c>
      <c r="DP24" s="20" t="e">
        <f>DP23+((DP10+DP11)*[1]Fuel_Specs!$B$164/[1]Fuel_Specs!$B$167+DP12*[1]Fuel_Specs!$B$165/[1]Fuel_Specs!$B$167)</f>
        <v>#REF!</v>
      </c>
      <c r="DQ24" s="20" t="e">
        <f>DQ23+((DQ10+DQ11)*[1]Fuel_Specs!$B$164/[1]Fuel_Specs!$B$167+DQ12*[1]Fuel_Specs!$B$165/[1]Fuel_Specs!$B$167)</f>
        <v>#REF!</v>
      </c>
      <c r="DR24" s="20" t="e">
        <f>DR23+(DR10+DR11)*[1]Fuel_Specs!$B$164/[1]Fuel_Specs!$B$167+DR12*[1]Fuel_Specs!$B$165/[1]Fuel_Specs!$B$167</f>
        <v>#REF!</v>
      </c>
      <c r="DS24" s="20" t="e">
        <f>DS23+(DS10+DS11)*[1]Fuel_Specs!$B$164/[1]Fuel_Specs!$B$167+DS12*[1]Fuel_Specs!$B$165/[1]Fuel_Specs!$B$167</f>
        <v>#REF!</v>
      </c>
      <c r="DT24" s="20" t="e">
        <f>DT23+(DT10+DT11)*[1]Fuel_Specs!$B$164/[1]Fuel_Specs!$B$167+DT12*[1]Fuel_Specs!$B$165/[1]Fuel_Specs!$B$167</f>
        <v>#REF!</v>
      </c>
      <c r="DU24" s="20" t="e">
        <f>DU23+(DU10+DU11)*[1]Fuel_Specs!$B$164/[1]Fuel_Specs!$B$167+DU12*[1]Fuel_Specs!$B$165/[1]Fuel_Specs!$B$167</f>
        <v>#REF!</v>
      </c>
      <c r="DV24" s="20" t="e">
        <f>DV23+(DV10+DV11)*[1]Fuel_Specs!$B$164/[1]Fuel_Specs!$B$167+DV12*[1]Fuel_Specs!$B$165/[1]Fuel_Specs!$B$167</f>
        <v>#REF!</v>
      </c>
      <c r="DW24" s="22" t="e">
        <f>DW23+(DW10+DW11)*[1]Fuel_Specs!$B$164/[1]Fuel_Specs!$B$167+DW12*[1]Fuel_Specs!$B$165/[1]Fuel_Specs!$B$167</f>
        <v>#REF!</v>
      </c>
      <c r="DX24" s="20" t="e">
        <f t="shared" ca="1" si="163"/>
        <v>#REF!</v>
      </c>
      <c r="DY24" s="20" t="e">
        <f>DY23+(DY10+DY11)*[1]Fuel_Specs!$B$164/[1]Fuel_Specs!$B$167+DY12*[1]Fuel_Specs!$B$165/[1]Fuel_Specs!$B$167</f>
        <v>#REF!</v>
      </c>
      <c r="DZ24" s="20" t="e">
        <f ca="1">DZ23+(DZ10+DZ11)*[1]Fuel_Specs!$B$164/[1]Fuel_Specs!$B$167+DZ12*[1]Fuel_Specs!$B$165/[1]Fuel_Specs!$B$167</f>
        <v>#REF!</v>
      </c>
      <c r="EA24" s="22" t="e">
        <f>EA23+(EA10+EA11)*[1]Fuel_Specs!$B$164/[1]Fuel_Specs!$B$167+EA12*[1]Fuel_Specs!$B$165/[1]Fuel_Specs!$B$167</f>
        <v>#REF!</v>
      </c>
      <c r="EB24" s="22" t="e">
        <f>EB23+(EB10+EB11)*[1]Fuel_Specs!$B$164/[1]Fuel_Specs!$B$167+EB12*[1]Fuel_Specs!$B$165/[1]Fuel_Specs!$B$167</f>
        <v>#REF!</v>
      </c>
      <c r="EC24" s="20" t="e">
        <f>EC23+(EC10+EC11)*[1]Fuel_Specs!$B$164/[1]Fuel_Specs!$B$167+EC12*[1]Fuel_Specs!$B$165/[1]Fuel_Specs!$B$167</f>
        <v>#REF!</v>
      </c>
      <c r="ED24" s="22" t="e">
        <f>ED23+(ED10+ED11)*[1]Fuel_Specs!$B$164/[1]Fuel_Specs!$B$167+ED12*[1]Fuel_Specs!$B$165/[1]Fuel_Specs!$B$167</f>
        <v>#REF!</v>
      </c>
      <c r="EE24" s="31" t="e">
        <f>EE23+(EE10+EE11)*[1]Fuel_Specs!$B$164/[1]Fuel_Specs!$B$167+EE12*[1]Fuel_Specs!$B$165/[1]Fuel_Specs!$B$167</f>
        <v>#REF!</v>
      </c>
    </row>
    <row r="25" spans="1:135" x14ac:dyDescent="0.25">
      <c r="A25" s="5" t="s">
        <v>142</v>
      </c>
      <c r="B25" s="20" t="e">
        <f>B24+SUMPRODUCT(B21:B22,[1]Fuel_Specs!$B$151:$B$152)+SUMPRODUCT(B11:B13,[1]Fuel_Specs!$B$157:$B$159)+B10*[1]Fuel_Specs!$B$157+SUMPRODUCT(B19:B20,[1]Fuel_Specs!$B$160:$B$161)</f>
        <v>#DIV/0!</v>
      </c>
      <c r="C25" s="20" t="e">
        <f>C24+SUMPRODUCT(C21:C22,[1]Fuel_Specs!$B$151:$B$152)+SUMPRODUCT(C11:C13,[1]Fuel_Specs!$B$157:$B$159)+C10*[1]Fuel_Specs!$B$157+SUMPRODUCT(C19:C20,[1]Fuel_Specs!$B$160:$B$161)</f>
        <v>#REF!</v>
      </c>
      <c r="D25" s="20" t="e">
        <f>D24+SUMPRODUCT(D21:D22,[1]Fuel_Specs!$B$151:$B$152)+SUMPRODUCT(D11:D13,[1]Fuel_Specs!$B$157:$B$159)+D10*[1]Fuel_Specs!$B$157+SUMPRODUCT(D19:D20,[1]Fuel_Specs!$B$160:$B$161)</f>
        <v>#REF!</v>
      </c>
      <c r="E25" s="20" t="e">
        <f>E24+SUMPRODUCT(E21:E22,[1]Fuel_Specs!$B$151:$B$152)+SUMPRODUCT(E11:E13,[1]Fuel_Specs!$B$157:$B$159)+E10*[1]Fuel_Specs!$B$157+SUMPRODUCT(E19:E20,[1]Fuel_Specs!$B$160:$B$161)</f>
        <v>#REF!</v>
      </c>
      <c r="F25" s="20" t="e">
        <f>F24+SUMPRODUCT(F21:F22,[1]Fuel_Specs!$B$151:$B$152)+SUMPRODUCT(F11:F13,[1]Fuel_Specs!$B$157:$B$159)+F10*[1]Fuel_Specs!$B$157+SUMPRODUCT(F19:F20,[1]Fuel_Specs!$B$160:$B$161)</f>
        <v>#REF!</v>
      </c>
      <c r="G25" s="20" t="e">
        <f>G24+SUMPRODUCT(G21:G22,[1]Fuel_Specs!$B$151:$B$152)+SUMPRODUCT(G11:G13,[1]Fuel_Specs!$B$157:$B$159)+G10*[1]Fuel_Specs!$B$157+SUMPRODUCT(G19:G20,[1]Fuel_Specs!$B$160:$B$161)</f>
        <v>#REF!</v>
      </c>
      <c r="H25" s="20" t="e">
        <f>H24+SUMPRODUCT(H21:H22,[1]Fuel_Specs!$B$151:$B$152)+SUMPRODUCT(H11:H13,[1]Fuel_Specs!$B$157:$B$159)+H10*[1]Fuel_Specs!$B$157+SUMPRODUCT(H19:H20,[1]Fuel_Specs!$B$160:$B$161)</f>
        <v>#REF!</v>
      </c>
      <c r="I25" s="20" t="e">
        <f>I24+SUMPRODUCT(I21:I22,[1]Fuel_Specs!$B$151:$B$152)+SUMPRODUCT(I11:I13,[1]Fuel_Specs!$B$157:$B$159)+I10*[1]Fuel_Specs!$B$157+SUMPRODUCT(I19:I20,[1]Fuel_Specs!$B$160:$B$161)</f>
        <v>#REF!</v>
      </c>
      <c r="J25" s="20" t="e">
        <f>J24+SUMPRODUCT(J21:J22,[1]Fuel_Specs!$B$151:$B$152)+SUMPRODUCT(J11:J13,[1]Fuel_Specs!$B$157:$B$159)+J10*[1]Fuel_Specs!$B$157+SUMPRODUCT(J19:J20,[1]Fuel_Specs!$B$160:$B$161)</f>
        <v>#REF!</v>
      </c>
      <c r="K25" s="20" t="e">
        <f>K24+SUMPRODUCT(K21:K22,[1]Fuel_Specs!$B$151:$B$152)+SUMPRODUCT(K11:K13,[1]Fuel_Specs!$B$157:$B$159)+K10*[1]Fuel_Specs!$B$157+SUMPRODUCT(K19:K20,[1]Fuel_Specs!$B$160:$B$161)</f>
        <v>#REF!</v>
      </c>
      <c r="L25" s="20" t="e">
        <f>L24+SUMPRODUCT(L21:L22,[1]Fuel_Specs!$B$151:$B$152)+SUMPRODUCT(L11:L13,[1]Fuel_Specs!$B$157:$B$159)+L10*[1]Fuel_Specs!$B$157+SUMPRODUCT(L19:L20,[1]Fuel_Specs!$B$160:$B$161)</f>
        <v>#REF!</v>
      </c>
      <c r="M25" s="20" t="e">
        <f>M24+SUMPRODUCT(M21:M22,[1]Fuel_Specs!$B$151:$B$152)+SUMPRODUCT(M11:M13,[1]Fuel_Specs!$B$157:$B$159)+M10*[1]Fuel_Specs!$B$157+SUMPRODUCT(M19:M20,[1]Fuel_Specs!$B$160:$B$161)</f>
        <v>#REF!</v>
      </c>
      <c r="N25" s="20" t="e">
        <f>N24+SUMPRODUCT(N21:N22,[1]Fuel_Specs!$B$151:$B$152)+SUMPRODUCT(N11:N13,[1]Fuel_Specs!$B$157:$B$159)+N10*[1]Fuel_Specs!$B$157+SUMPRODUCT(N19:N20,[1]Fuel_Specs!$B$160:$B$161)</f>
        <v>#REF!</v>
      </c>
      <c r="O25" s="20" t="e">
        <f>O24+SUMPRODUCT(O21:O22,[1]Fuel_Specs!$B$151:$B$152)+SUMPRODUCT(O11:O13,[1]Fuel_Specs!$B$157:$B$159)+O10*[1]Fuel_Specs!$B$157+SUMPRODUCT(O19:O20,[1]Fuel_Specs!$B$160:$B$161)</f>
        <v>#REF!</v>
      </c>
      <c r="P25" s="20" t="e">
        <f>P24+SUMPRODUCT(P21:P22,[1]Fuel_Specs!$B$151:$B$152)+SUMPRODUCT(P11:P13,[1]Fuel_Specs!$B$157:$B$159)+P10*[1]Fuel_Specs!$B$157+SUMPRODUCT(P19:P20,[1]Fuel_Specs!$B$160:$B$161)</f>
        <v>#REF!</v>
      </c>
      <c r="Q25" s="20" t="e">
        <f>Q24+SUMPRODUCT(Q21:Q22,[1]Fuel_Specs!$B$151:$B$152)+SUMPRODUCT(Q11:Q13,[1]Fuel_Specs!$B$157:$B$159)+Q10*[1]Fuel_Specs!$B$157+SUMPRODUCT(Q19:Q20,[1]Fuel_Specs!$B$160:$B$161)</f>
        <v>#REF!</v>
      </c>
      <c r="R25" s="20" t="e">
        <f>R24+SUMPRODUCT(R21:R22,[1]Fuel_Specs!$B$151:$B$152)+SUMPRODUCT(R11:R13,[1]Fuel_Specs!$B$157:$B$159)+R10*[1]Fuel_Specs!$B$157+SUMPRODUCT(R19:R20,[1]Fuel_Specs!$B$160:$B$161)</f>
        <v>#REF!</v>
      </c>
      <c r="S25" s="20" t="e">
        <f>S24+SUMPRODUCT(S21:S22,[1]Fuel_Specs!$B$151:$B$152)+SUMPRODUCT(S11:S13,[1]Fuel_Specs!$B$157:$B$159)+S10*[1]Fuel_Specs!$B$157+SUMPRODUCT(S19:S20,[1]Fuel_Specs!$B$160:$B$161)</f>
        <v>#REF!</v>
      </c>
      <c r="T25" s="20" t="e">
        <f>T24+SUMPRODUCT(T21:T22,[1]Fuel_Specs!$B$151:$B$152)+SUMPRODUCT(T11:T13,[1]Fuel_Specs!$B$157:$B$159)+T10*[1]Fuel_Specs!$B$157+SUMPRODUCT(T19:T20,[1]Fuel_Specs!$B$160:$B$161)</f>
        <v>#REF!</v>
      </c>
      <c r="U25" s="20" t="e">
        <f>U24+SUMPRODUCT(U21:U22,[1]Fuel_Specs!$B$151:$B$152)+SUMPRODUCT(U11:U13,[1]Fuel_Specs!$B$157:$B$159)+U10*[1]Fuel_Specs!$B$157+SUMPRODUCT(U19:U20,[1]Fuel_Specs!$B$160:$B$161)</f>
        <v>#REF!</v>
      </c>
      <c r="V25" s="21" t="e">
        <f>V24+SUMPRODUCT(V21:V22,[1]Fuel_Specs!$B$151:$B$152)+SUMPRODUCT(V11:V13,[1]Fuel_Specs!$B$157:$B$159)+V10*[1]Fuel_Specs!$B$157+SUMPRODUCT(V19:V20,[1]Fuel_Specs!$B$160:$B$161)</f>
        <v>#REF!</v>
      </c>
      <c r="W25" s="20" t="e">
        <f>W24+SUMPRODUCT(W21:W22,[1]Fuel_Specs!$B$151:$B$152)+SUMPRODUCT(W11:W13,[1]Fuel_Specs!$B$157:$B$159)+W10*[1]Fuel_Specs!$B$157+SUMPRODUCT(W19:W20,[1]Fuel_Specs!$B$160:$B$161)</f>
        <v>#REF!</v>
      </c>
      <c r="X25" s="20" t="e">
        <f>X24+SUMPRODUCT(X21:X22,[1]Fuel_Specs!$B$151:$B$152)+SUMPRODUCT(X11:X13,[1]Fuel_Specs!$B$157:$B$159)+X10*[1]Fuel_Specs!$B$157+SUMPRODUCT(X19:X20,[1]Fuel_Specs!$B$160:$B$161)</f>
        <v>#REF!</v>
      </c>
      <c r="Y25" s="20" t="e">
        <f>Y24+SUMPRODUCT(Y21:Y22,[1]Fuel_Specs!$B$151:$B$152)+SUMPRODUCT(Y11:Y13,[1]Fuel_Specs!$B$157:$B$159)+Y10*[1]Fuel_Specs!$B$157+SUMPRODUCT(Y19:Y20,[1]Fuel_Specs!$B$160:$B$161)</f>
        <v>#REF!</v>
      </c>
      <c r="Z25" s="22" t="e">
        <f>Z24+SUMPRODUCT(Z21:Z22,[1]Fuel_Specs!$B$151:$B$152)+SUMPRODUCT(Z11:Z13,[1]Fuel_Specs!$B$157:$B$159)+Z10*[1]Fuel_Specs!$B$157+SUMPRODUCT(Z19:Z20,[1]Fuel_Specs!$B$160:$B$161)</f>
        <v>#REF!</v>
      </c>
      <c r="AA25" s="20" t="e">
        <f>AA24+SUMPRODUCT(AA21:AA22,[1]Fuel_Specs!$B$151:$B$152)+SUMPRODUCT(AA11:AA13,[1]Fuel_Specs!$B$157:$B$159)+AA10*[1]Fuel_Specs!$B$157+SUMPRODUCT(AA19:AA20,[1]Fuel_Specs!$B$160:$B$161)</f>
        <v>#REF!</v>
      </c>
      <c r="AB25" s="20" t="e">
        <f>AB24+SUMPRODUCT(AB21:AB22,[1]Fuel_Specs!$B$151:$B$152)+SUMPRODUCT(AB11:AB13,[1]Fuel_Specs!$B$157:$B$159)+AB10*[1]Fuel_Specs!$B$157+SUMPRODUCT(AB19:AB20,[1]Fuel_Specs!$B$160:$B$161)</f>
        <v>#REF!</v>
      </c>
      <c r="AC25" s="20" t="e">
        <f>AC24+SUMPRODUCT(AC21:AC22,[1]Fuel_Specs!$B$151:$B$152)+SUMPRODUCT(AC11:AC13,[1]Fuel_Specs!$B$157:$B$159)+AC10*[1]Fuel_Specs!$B$157+SUMPRODUCT(AC19:AC20,[1]Fuel_Specs!$B$160:$B$161)</f>
        <v>#REF!</v>
      </c>
      <c r="AD25" s="20" t="e">
        <f>AD24+SUMPRODUCT(AD21:AD22,[1]Fuel_Specs!$B$151:$B$152)+SUMPRODUCT(AD11:AD13,[1]Fuel_Specs!$B$157:$B$159)+AD10*[1]Fuel_Specs!$B$157+SUMPRODUCT(AD19:AD20,[1]Fuel_Specs!$B$160:$B$161)</f>
        <v>#REF!</v>
      </c>
      <c r="AE25" s="20" t="e">
        <f>AE24+SUMPRODUCT(AE21:AE22,[1]Fuel_Specs!$B$151:$B$152)+SUMPRODUCT(AE11:AE13,[1]Fuel_Specs!$B$157:$B$159)+AE10*[1]Fuel_Specs!$B$157+SUMPRODUCT(AE19:AE20,[1]Fuel_Specs!$B$160:$B$161)</f>
        <v>#REF!</v>
      </c>
      <c r="AF25" s="20" t="e">
        <f>AF24+SUMPRODUCT(AF21:AF22,[1]Fuel_Specs!$B$151:$B$152)+SUMPRODUCT(AF11:AF13,[1]Fuel_Specs!$B$157:$B$159)+AF10*[1]Fuel_Specs!$B$157+SUMPRODUCT(AF19:AF20,[1]Fuel_Specs!$B$160:$B$161)</f>
        <v>#REF!</v>
      </c>
      <c r="AG25" s="20" t="e">
        <f>AG24+SUMPRODUCT(AG21:AG22,[1]Fuel_Specs!$B$151:$B$152)+SUMPRODUCT(AG11:AG13,[1]Fuel_Specs!$B$157:$B$159)+AG10*[1]Fuel_Specs!$B$157+SUMPRODUCT(AG19:AG20,[1]Fuel_Specs!$B$160:$B$161)</f>
        <v>#REF!</v>
      </c>
      <c r="AH25" s="21" t="e">
        <f>AH24+SUMPRODUCT(AH21:AH22,[1]Fuel_Specs!$B$151:$B$152)+SUMPRODUCT(AH11:AH13,[1]Fuel_Specs!$B$157:$B$159)+AH10*[1]Fuel_Specs!$B$157+SUMPRODUCT(AH19:AH20,[1]Fuel_Specs!$B$160:$B$161)</f>
        <v>#REF!</v>
      </c>
      <c r="AI25" s="20" t="e">
        <f>AI24+SUMPRODUCT(AI21:AI22,[1]Fuel_Specs!$B$151:$B$152)+SUMPRODUCT(AI11:AI13,[1]Fuel_Specs!$B$157:$B$159)+AI10*[1]Fuel_Specs!$B$157+SUMPRODUCT(AI19:AI20,[1]Fuel_Specs!$B$160:$B$161)</f>
        <v>#REF!</v>
      </c>
      <c r="AJ25" s="20" t="e">
        <f>AJ24+SUMPRODUCT(AJ21:AJ22,[1]Fuel_Specs!$B$151:$B$152)+SUMPRODUCT(AJ11:AJ13,[1]Fuel_Specs!$B$157:$B$159)+AJ10*[1]Fuel_Specs!$B$157+SUMPRODUCT(AJ19:AJ20,[1]Fuel_Specs!$B$160:$B$161)</f>
        <v>#REF!</v>
      </c>
      <c r="AK25" s="20" t="e">
        <f>AK24+SUMPRODUCT(AK21:AK22,[1]Fuel_Specs!$B$151:$B$152)+SUMPRODUCT(AK11:AK13,[1]Fuel_Specs!$B$157:$B$159)+AK10*[1]Fuel_Specs!$B$157+SUMPRODUCT(AK19:AK20,[1]Fuel_Specs!$B$160:$B$161)</f>
        <v>#REF!</v>
      </c>
      <c r="AL25" s="20" t="e">
        <f>AL24+SUMPRODUCT(AL21:AL22,[1]Fuel_Specs!$B$151:$B$152)+SUMPRODUCT(AL11:AL13,[1]Fuel_Specs!$B$157:$B$159)+AL10*[1]Fuel_Specs!$B$157+SUMPRODUCT(AL19:AL20,[1]Fuel_Specs!$B$160:$B$161)</f>
        <v>#REF!</v>
      </c>
      <c r="AM25" s="20" t="e">
        <f>AM24+SUMPRODUCT(AM21:AM22,[1]Fuel_Specs!$B$151:$B$152)+SUMPRODUCT(AM11:AM13,[1]Fuel_Specs!$B$157:$B$159)+AM10*[1]Fuel_Specs!$B$157+SUMPRODUCT(AM19:AM20,[1]Fuel_Specs!$B$160:$B$161)</f>
        <v>#REF!</v>
      </c>
      <c r="AN25" s="20" t="e">
        <f>AN24+SUMPRODUCT(AN21:AN22,[1]Fuel_Specs!$B$151:$B$152)+SUMPRODUCT(AN11:AN13,[1]Fuel_Specs!$B$157:$B$159)+AN10*[1]Fuel_Specs!$B$157+SUMPRODUCT(AN19:AN20,[1]Fuel_Specs!$B$160:$B$161)</f>
        <v>#REF!</v>
      </c>
      <c r="AO25" s="20" t="e">
        <f>AO24+SUMPRODUCT(AO21:AO22,[1]Fuel_Specs!$B$151:$B$152)+SUMPRODUCT(AO11:AO13,[1]Fuel_Specs!$B$157:$B$159)+AO10*[1]Fuel_Specs!$B$157+SUMPRODUCT(AO19:AO20,[1]Fuel_Specs!$B$160:$B$161)</f>
        <v>#REF!</v>
      </c>
      <c r="AP25" s="20" t="e">
        <f>AP24+SUMPRODUCT(AP21:AP22,[1]Fuel_Specs!$B$151:$B$152)+SUMPRODUCT(AP11:AP13,[1]Fuel_Specs!$B$157:$B$159)+AP10*[1]Fuel_Specs!$B$157+SUMPRODUCT(AP19:AP20,[1]Fuel_Specs!$B$160:$B$161)</f>
        <v>#REF!</v>
      </c>
      <c r="AQ25" s="20" t="e">
        <f>AQ24+SUMPRODUCT(AQ21:AQ22,[1]Fuel_Specs!$B$151:$B$152)+SUMPRODUCT(AQ11:AQ13,[1]Fuel_Specs!$B$157:$B$159)+AQ10*[1]Fuel_Specs!$B$157+SUMPRODUCT(AQ19:AQ20,[1]Fuel_Specs!$B$160:$B$161)</f>
        <v>#REF!</v>
      </c>
      <c r="AR25" s="22" t="e">
        <f>AR24+SUMPRODUCT(AR21:AR22,[1]Fuel_Specs!$B$151:$B$152)+SUMPRODUCT(AR11:AR13,[1]Fuel_Specs!$B$157:$B$159)+AR10*[1]Fuel_Specs!$B$157+SUMPRODUCT(AR19:AR20,[1]Fuel_Specs!$B$160:$B$161)</f>
        <v>#REF!</v>
      </c>
      <c r="AS25" s="20" t="e">
        <f ca="1">AS24+SUMPRODUCT(AS21:AS22,[1]Fuel_Specs!$B$151:$B$152)+SUMPRODUCT(AS11:AS13,[1]Fuel_Specs!$B$157:$B$159)+AS10*[1]Fuel_Specs!$B$157+SUMPRODUCT(AS19:AS20,[1]Fuel_Specs!$B$160:$B$161)</f>
        <v>#REF!</v>
      </c>
      <c r="AT25" s="20" t="e">
        <f>AT24+SUMPRODUCT(AT21:AT22,[1]Fuel_Specs!$B$151:$B$152)+SUMPRODUCT(AT11:AT13,[1]Fuel_Specs!$B$157:$B$159)+AT10*[1]Fuel_Specs!$B$157+SUMPRODUCT(AT19:AT20,[1]Fuel_Specs!$B$160:$B$161)</f>
        <v>#REF!</v>
      </c>
      <c r="AU25" s="20" t="e">
        <f ca="1">AU24+SUMPRODUCT(AU21:AU22,[1]Fuel_Specs!$B$151:$B$152)+SUMPRODUCT(AU11:AU13,[1]Fuel_Specs!$B$157:$B$159)+AU10*[1]Fuel_Specs!$B$157+SUMPRODUCT(AU19:AU20,[1]Fuel_Specs!$B$160:$B$161)</f>
        <v>#REF!</v>
      </c>
      <c r="AV25" s="20" t="e">
        <f>AV24+SUMPRODUCT(AV21:AV22,[1]Fuel_Specs!$B$151:$B$152)+SUMPRODUCT(AV11:AV13,[1]Fuel_Specs!$B$157:$B$159)+AV10*[1]Fuel_Specs!$B$157+SUMPRODUCT(AV19:AV20,[1]Fuel_Specs!$B$160:$B$161)</f>
        <v>#REF!</v>
      </c>
      <c r="AW25" s="21" t="e">
        <f ca="1">AW24+SUMPRODUCT(AW21:AW22,[1]Fuel_Specs!$B$151:$B$152)+SUMPRODUCT(AW11:AW13,[1]Fuel_Specs!$B$157:$B$159)+AW10*[1]Fuel_Specs!$B$157+SUMPRODUCT(AW19:AW20,[1]Fuel_Specs!$B$160:$B$161)</f>
        <v>#REF!</v>
      </c>
      <c r="AX25" s="20" t="e">
        <f>AX24+SUMPRODUCT(AX21:AX22,[1]Fuel_Specs!$B$151:$B$152)+SUMPRODUCT(AX11:AX13,[1]Fuel_Specs!$B$157:$B$159)+AX10*[1]Fuel_Specs!$B$157+SUMPRODUCT(AX19:AX20,[1]Fuel_Specs!$B$160:$B$161)</f>
        <v>#REF!</v>
      </c>
      <c r="AY25" s="20" t="e">
        <f ca="1">AY24+SUMPRODUCT(AY21:AY22,[1]Fuel_Specs!$B$151:$B$152)+SUMPRODUCT(AY11:AY13,[1]Fuel_Specs!$B$157:$B$159)+AY10*[1]Fuel_Specs!$B$157+SUMPRODUCT(AY19:AY20,[1]Fuel_Specs!$B$160:$B$161)</f>
        <v>#REF!</v>
      </c>
      <c r="AZ25" s="22" t="e">
        <f>AZ24+SUMPRODUCT(AZ21:AZ22,[1]Fuel_Specs!$B$151:$B$152)+SUMPRODUCT(AZ11:AZ13,[1]Fuel_Specs!$B$157:$B$159)+AZ10*[1]Fuel_Specs!$B$157+SUMPRODUCT(AZ19:AZ20,[1]Fuel_Specs!$B$160:$B$161)</f>
        <v>#REF!</v>
      </c>
      <c r="BA25" s="21" t="e">
        <f ca="1">BA24+SUMPRODUCT(BA21:BA22,[1]Fuel_Specs!$B$151:$B$152)+SUMPRODUCT(BA11:BA13,[1]Fuel_Specs!$B$157:$B$159)+BA10*[1]Fuel_Specs!$B$157+SUMPRODUCT(BA19:BA20,[1]Fuel_Specs!$B$160:$B$161)</f>
        <v>#REF!</v>
      </c>
      <c r="BB25" s="20" t="e">
        <f>BB24+SUMPRODUCT(BB21:BB22,[1]Fuel_Specs!$B$151:$B$152)+SUMPRODUCT(BB11:BB13,[1]Fuel_Specs!$B$157:$B$159)+BB10*[1]Fuel_Specs!$B$157+SUMPRODUCT(BB19:BB20,[1]Fuel_Specs!$B$160:$B$161)</f>
        <v>#REF!</v>
      </c>
      <c r="BC25" s="20" t="e">
        <f ca="1">BC24+SUMPRODUCT(BC21:BC22,[1]Fuel_Specs!$B$151:$B$152)+SUMPRODUCT(BC11:BC13,[1]Fuel_Specs!$B$157:$B$159)+BC10*[1]Fuel_Specs!$B$157+SUMPRODUCT(BC19:BC20,[1]Fuel_Specs!$B$160:$B$161)</f>
        <v>#REF!</v>
      </c>
      <c r="BD25" s="22" t="e">
        <f>BD24+SUMPRODUCT(BD21:BD22,[1]Fuel_Specs!$B$151:$B$152)+SUMPRODUCT(BD11:BD13,[1]Fuel_Specs!$B$157:$B$159)+BD10*[1]Fuel_Specs!$B$157+SUMPRODUCT(BD19:BD20,[1]Fuel_Specs!$B$160:$B$161)</f>
        <v>#REF!</v>
      </c>
      <c r="BE25" s="20" t="e">
        <f ca="1">BE24+SUMPRODUCT(BE21:BE22,[1]Fuel_Specs!$B$151:$B$152)+SUMPRODUCT(BE11:BE13,[1]Fuel_Specs!$B$157:$B$159)+BE10*[1]Fuel_Specs!$B$157+SUMPRODUCT(BE19:BE20,[1]Fuel_Specs!$B$160:$B$161)</f>
        <v>#REF!</v>
      </c>
      <c r="BF25" s="20" t="e">
        <f>BF24+SUMPRODUCT(BF21:BF22,[1]Fuel_Specs!$B$151:$B$152)+SUMPRODUCT(BF11:BF13,[1]Fuel_Specs!$B$157:$B$159)+BF10*[1]Fuel_Specs!$B$157+SUMPRODUCT(BF19:BF20,[1]Fuel_Specs!$B$160:$B$161)</f>
        <v>#REF!</v>
      </c>
      <c r="BG25" s="20" t="e">
        <f ca="1">BG24+SUMPRODUCT(BG21:BG22,[1]Fuel_Specs!$B$151:$B$152)+SUMPRODUCT(BG11:BG13,[1]Fuel_Specs!$B$157:$B$159)+BG10*[1]Fuel_Specs!$B$157+SUMPRODUCT(BG19:BG20,[1]Fuel_Specs!$B$160:$B$161)</f>
        <v>#REF!</v>
      </c>
      <c r="BH25" s="20" t="e">
        <f>BH24+SUMPRODUCT(BH21:BH22,[1]Fuel_Specs!$B$151:$B$152)+SUMPRODUCT(BH11:BH13,[1]Fuel_Specs!$B$157:$B$159)+BH10*[1]Fuel_Specs!$B$157+SUMPRODUCT(BH19:BH20,[1]Fuel_Specs!$B$160:$B$161)</f>
        <v>#REF!</v>
      </c>
      <c r="BI25" s="21" t="e">
        <f ca="1">BI24+SUMPRODUCT(BI21:BI22,[1]Fuel_Specs!$B$151:$B$152)+SUMPRODUCT(BI11:BI13,[1]Fuel_Specs!$B$157:$B$159)+BI10*[1]Fuel_Specs!$B$157+SUMPRODUCT(BI19:BI20,[1]Fuel_Specs!$B$160:$B$161)</f>
        <v>#REF!</v>
      </c>
      <c r="BJ25" s="20" t="e">
        <f>BJ24+SUMPRODUCT(BJ21:BJ22,[1]Fuel_Specs!$B$151:$B$152)+SUMPRODUCT(BJ11:BJ13,[1]Fuel_Specs!$B$157:$B$159)+BJ10*[1]Fuel_Specs!$B$157+SUMPRODUCT(BJ19:BJ20,[1]Fuel_Specs!$B$160:$B$161)</f>
        <v>#REF!</v>
      </c>
      <c r="BK25" s="20" t="e">
        <f ca="1">BK24+SUMPRODUCT(BK21:BK22,[1]Fuel_Specs!$B$151:$B$152)+SUMPRODUCT(BK11:BK13,[1]Fuel_Specs!$B$157:$B$159)+BK10*[1]Fuel_Specs!$B$157+SUMPRODUCT(BK19:BK20,[1]Fuel_Specs!$B$160:$B$161)</f>
        <v>#REF!</v>
      </c>
      <c r="BL25" s="22" t="e">
        <f>BL24+SUMPRODUCT(BL21:BL22,[1]Fuel_Specs!$B$151:$B$152)+SUMPRODUCT(BL11:BL13,[1]Fuel_Specs!$B$157:$B$159)+BL10*[1]Fuel_Specs!$B$157+SUMPRODUCT(BL19:BL20,[1]Fuel_Specs!$B$160:$B$161)</f>
        <v>#REF!</v>
      </c>
      <c r="BM25" s="20" t="e">
        <f ca="1">BM24+SUMPRODUCT(BM21:BM22,[1]Fuel_Specs!$B$151:$B$152)+SUMPRODUCT(BM11:BM13,[1]Fuel_Specs!$B$157:$B$159)+BM10*[1]Fuel_Specs!$B$157+SUMPRODUCT(BM19:BM20,[1]Fuel_Specs!$B$160:$B$161)</f>
        <v>#REF!</v>
      </c>
      <c r="BN25" s="20" t="e">
        <f>BN24+SUMPRODUCT(BN21:BN22,[1]Fuel_Specs!$B$151:$B$152)+SUMPRODUCT(BN11:BN13,[1]Fuel_Specs!$B$157:$B$159)+BN10*[1]Fuel_Specs!$B$157+SUMPRODUCT(BN19:BN20,[1]Fuel_Specs!$B$160:$B$161)</f>
        <v>#REF!</v>
      </c>
      <c r="BO25" s="20" t="e">
        <f ca="1">BO24+SUMPRODUCT(BO21:BO22,[1]Fuel_Specs!$B$151:$B$152)+SUMPRODUCT(BO11:BO13,[1]Fuel_Specs!$B$157:$B$159)+BO10*[1]Fuel_Specs!$B$157+SUMPRODUCT(BO19:BO20,[1]Fuel_Specs!$B$160:$B$161)</f>
        <v>#REF!</v>
      </c>
      <c r="BP25" s="20" t="e">
        <f>BP24+SUMPRODUCT(BP21:BP22,[1]Fuel_Specs!$B$151:$B$152)+SUMPRODUCT(BP11:BP13,[1]Fuel_Specs!$B$157:$B$159)+BP10*[1]Fuel_Specs!$B$157+SUMPRODUCT(BP19:BP20,[1]Fuel_Specs!$B$160:$B$161)</f>
        <v>#REF!</v>
      </c>
      <c r="BQ25" s="21" t="e">
        <f ca="1">BQ24+SUMPRODUCT(BQ21:BQ22,[1]Fuel_Specs!$B$151:$B$152)+SUMPRODUCT(BQ11:BQ13,[1]Fuel_Specs!$B$157:$B$159)+BQ10*[1]Fuel_Specs!$B$157+SUMPRODUCT(BQ19:BQ20,[1]Fuel_Specs!$B$160:$B$161)</f>
        <v>#REF!</v>
      </c>
      <c r="BR25" s="20" t="e">
        <f>BR24+SUMPRODUCT(BR21:BR22,[1]Fuel_Specs!$B$151:$B$152)+SUMPRODUCT(BR11:BR13,[1]Fuel_Specs!$B$157:$B$159)+BR10*[1]Fuel_Specs!$B$157+SUMPRODUCT(BR19:BR20,[1]Fuel_Specs!$B$160:$B$161)</f>
        <v>#REF!</v>
      </c>
      <c r="BS25" s="20" t="e">
        <f ca="1">BS24+SUMPRODUCT(BS21:BS22,[1]Fuel_Specs!$B$151:$B$152)+SUMPRODUCT(BS11:BS13,[1]Fuel_Specs!$B$157:$B$159)+BS10*[1]Fuel_Specs!$B$157+SUMPRODUCT(BS19:BS20,[1]Fuel_Specs!$B$160:$B$161)</f>
        <v>#REF!</v>
      </c>
      <c r="BT25" s="22" t="e">
        <f>BT24+SUMPRODUCT(BT21:BT22,[1]Fuel_Specs!$B$151:$B$152)+SUMPRODUCT(BT11:BT13,[1]Fuel_Specs!$B$157:$B$159)+BT10*[1]Fuel_Specs!$B$157+SUMPRODUCT(BT19:BT20,[1]Fuel_Specs!$B$160:$B$161)</f>
        <v>#REF!</v>
      </c>
      <c r="BU25" s="20" t="e">
        <f ca="1">BU24+SUMPRODUCT(BU21:BU22,[1]Fuel_Specs!$B$151:$B$152)+SUMPRODUCT(BU11:BU13,[1]Fuel_Specs!$B$157:$B$159)+BU10*[1]Fuel_Specs!$B$157+SUMPRODUCT(BU19:BU20,[1]Fuel_Specs!$B$160:$B$161)</f>
        <v>#REF!</v>
      </c>
      <c r="BV25" s="20" t="e">
        <f>BV24+SUMPRODUCT(BV21:BV22,[1]Fuel_Specs!$B$151:$B$152)+SUMPRODUCT(BV11:BV13,[1]Fuel_Specs!$B$157:$B$159)+BV10*[1]Fuel_Specs!$B$157+SUMPRODUCT(BV19:BV20,[1]Fuel_Specs!$B$160:$B$161)</f>
        <v>#REF!</v>
      </c>
      <c r="BW25" s="20" t="e">
        <f ca="1">BW24+SUMPRODUCT(BW21:BW22,[1]Fuel_Specs!$B$151:$B$152)+SUMPRODUCT(BW11:BW13,[1]Fuel_Specs!$B$157:$B$159)+BW10*[1]Fuel_Specs!$B$157+SUMPRODUCT(BW19:BW20,[1]Fuel_Specs!$B$160:$B$161)</f>
        <v>#REF!</v>
      </c>
      <c r="BX25" s="20" t="e">
        <f>BX24+SUMPRODUCT(BX21:BX22,[1]Fuel_Specs!$B$151:$B$152)+SUMPRODUCT(BX11:BX13,[1]Fuel_Specs!$B$157:$B$159)+BX10*[1]Fuel_Specs!$B$157+SUMPRODUCT(BX19:BX20,[1]Fuel_Specs!$B$160:$B$161)</f>
        <v>#REF!</v>
      </c>
      <c r="BY25" s="21" t="e">
        <f ca="1">BY24+SUMPRODUCT(BY21:BY22,[1]Fuel_Specs!$B$151:$B$152)+SUMPRODUCT(BY11:BY13,[1]Fuel_Specs!$B$157:$B$159)+BY10*[1]Fuel_Specs!$B$157+SUMPRODUCT(BY19:BY20,[1]Fuel_Specs!$B$160:$B$161)</f>
        <v>#REF!</v>
      </c>
      <c r="BZ25" s="20" t="e">
        <f>BZ24+SUMPRODUCT(BZ21:BZ22,[1]Fuel_Specs!$B$151:$B$152)+SUMPRODUCT(BZ11:BZ13,[1]Fuel_Specs!$B$157:$B$159)+BZ10*[1]Fuel_Specs!$B$157+SUMPRODUCT(BZ19:BZ20,[1]Fuel_Specs!$B$160:$B$161)</f>
        <v>#REF!</v>
      </c>
      <c r="CA25" s="20" t="e">
        <f ca="1">CA24+SUMPRODUCT(CA21:CA22,[1]Fuel_Specs!$B$151:$B$152)+SUMPRODUCT(CA11:CA13,[1]Fuel_Specs!$B$157:$B$159)+CA10*[1]Fuel_Specs!$B$157+SUMPRODUCT(CA19:CA20,[1]Fuel_Specs!$B$160:$B$161)</f>
        <v>#REF!</v>
      </c>
      <c r="CB25" s="22" t="e">
        <f>CB24+SUMPRODUCT(CB21:CB22,[1]Fuel_Specs!$B$151:$B$152)+SUMPRODUCT(CB11:CB13,[1]Fuel_Specs!$B$157:$B$159)+CB10*[1]Fuel_Specs!$B$157+SUMPRODUCT(CB19:CB20,[1]Fuel_Specs!$B$160:$B$161)</f>
        <v>#REF!</v>
      </c>
      <c r="CC25" s="20" t="e">
        <f ca="1">CC24+SUMPRODUCT(CC21:CC22,[1]Fuel_Specs!$B$151:$B$152)+SUMPRODUCT(CC11:CC13,[1]Fuel_Specs!$B$157:$B$159)+CC10*[1]Fuel_Specs!$B$157+SUMPRODUCT(CC19:CC20,[1]Fuel_Specs!$B$160:$B$161)</f>
        <v>#REF!</v>
      </c>
      <c r="CD25" s="20" t="e">
        <f>CD24+SUMPRODUCT(CD21:CD22,[1]Fuel_Specs!$B$151:$B$152)+SUMPRODUCT(CD11:CD13,[1]Fuel_Specs!$B$157:$B$159)+CD10*[1]Fuel_Specs!$B$157+SUMPRODUCT(CD19:CD20,[1]Fuel_Specs!$B$160:$B$161)</f>
        <v>#REF!</v>
      </c>
      <c r="CE25" s="20" t="e">
        <f ca="1">CE24+SUMPRODUCT(CE21:CE22,[1]Fuel_Specs!$B$151:$B$152)+SUMPRODUCT(CE11:CE13,[1]Fuel_Specs!$B$157:$B$159)+CE10*[1]Fuel_Specs!$B$157+SUMPRODUCT(CE19:CE20,[1]Fuel_Specs!$B$160:$B$161)</f>
        <v>#REF!</v>
      </c>
      <c r="CF25" s="20" t="e">
        <f>CF24+SUMPRODUCT(CF21:CF22,[1]Fuel_Specs!$B$151:$B$152)+SUMPRODUCT(CF11:CF13,[1]Fuel_Specs!$B$157:$B$159)+CF10*[1]Fuel_Specs!$B$157+SUMPRODUCT(CF19:CF20,[1]Fuel_Specs!$B$160:$B$161)</f>
        <v>#REF!</v>
      </c>
      <c r="CG25" s="20" t="e">
        <f>CG24+SUMPRODUCT(CG21:CG22,[1]Fuel_Specs!$B$151:$B$152)+SUMPRODUCT(CG11:CG13,[1]Fuel_Specs!$B$157:$B$159)+CG10*[1]Fuel_Specs!$B$157+SUMPRODUCT(CG19:CG20,[1]Fuel_Specs!$B$160:$B$161)</f>
        <v>#REF!</v>
      </c>
      <c r="CH25" s="21" t="e">
        <f>CH24+SUMPRODUCT(CH21:CH22,[1]Fuel_Specs!$B$151:$B$152)+SUMPRODUCT(CH11:CH13,[1]Fuel_Specs!$B$157:$B$159)+CH10*[1]Fuel_Specs!$B$157+SUMPRODUCT(CH19:CH20,[1]Fuel_Specs!$B$160:$B$161)</f>
        <v>#REF!</v>
      </c>
      <c r="CI25" s="20" t="e">
        <f>CI24+SUMPRODUCT(CI21:CI22,[1]Fuel_Specs!$B$151:$B$152)+SUMPRODUCT(CI11:CI13,[1]Fuel_Specs!$B$157:$B$159)+CI10*[1]Fuel_Specs!$B$157+SUMPRODUCT(CI19:CI20,[1]Fuel_Specs!$B$160:$B$161)</f>
        <v>#REF!</v>
      </c>
      <c r="CJ25" s="20" t="e">
        <f>CJ24+SUMPRODUCT(CJ21:CJ22,[1]Fuel_Specs!$B$151:$B$152)+SUMPRODUCT(CJ11:CJ13,[1]Fuel_Specs!$B$157:$B$159)+CJ10*[1]Fuel_Specs!$B$157+SUMPRODUCT(CJ19:CJ20,[1]Fuel_Specs!$B$160:$B$161)</f>
        <v>#REF!</v>
      </c>
      <c r="CK25" s="20" t="e">
        <f>CK24+SUMPRODUCT(CK21:CK22,[1]Fuel_Specs!$B$151:$B$152)+SUMPRODUCT(CK11:CK13,[1]Fuel_Specs!$B$157:$B$159)+CK10*[1]Fuel_Specs!$B$157+SUMPRODUCT(CK19:CK20,[1]Fuel_Specs!$B$160:$B$161)</f>
        <v>#REF!</v>
      </c>
      <c r="CL25" s="20" t="e">
        <f>CL24+SUMPRODUCT(CL21:CL22,[1]Fuel_Specs!$B$151:$B$152)+SUMPRODUCT(CL11:CL13,[1]Fuel_Specs!$B$157:$B$159)+CL10*[1]Fuel_Specs!$B$157+SUMPRODUCT(CL19:CL20,[1]Fuel_Specs!$B$160:$B$161)</f>
        <v>#REF!</v>
      </c>
      <c r="CM25" s="22" t="e">
        <f>CM24+SUMPRODUCT(CM21:CM22,[1]Fuel_Specs!$B$151:$B$152)+SUMPRODUCT(CM11:CM13,[1]Fuel_Specs!$B$157:$B$159)+CM10*[1]Fuel_Specs!$B$157+SUMPRODUCT(CM19:CM20,[1]Fuel_Specs!$B$160:$B$161)</f>
        <v>#REF!</v>
      </c>
      <c r="CN25" s="20" t="e">
        <f ca="1">CN24+SUMPRODUCT(CN21:CN22,[1]Fuel_Specs!$B$151:$B$152)+SUMPRODUCT(CN11:CN13,[1]Fuel_Specs!$B$157:$B$159)+CN10*[1]Fuel_Specs!$B$157+SUMPRODUCT(CN19:CN20,[1]Fuel_Specs!$B$160:$B$161)</f>
        <v>#REF!</v>
      </c>
      <c r="CO25" s="20" t="e">
        <f>CO24+SUMPRODUCT(CO21:CO22,[1]Fuel_Specs!$B$151:$B$152)+SUMPRODUCT(CO11:CO13,[1]Fuel_Specs!$B$157:$B$159)+CO10*[1]Fuel_Specs!$B$157+SUMPRODUCT(CO19:CO20,[1]Fuel_Specs!$B$160:$B$161)</f>
        <v>#REF!</v>
      </c>
      <c r="CP25" s="20" t="e">
        <f ca="1">CP24+SUMPRODUCT(CP21:CP22,[1]Fuel_Specs!$B$151:$B$152)+SUMPRODUCT(CP11:CP13,[1]Fuel_Specs!$B$157:$B$159)+CP10*[1]Fuel_Specs!$B$157+SUMPRODUCT(CP19:CP20,[1]Fuel_Specs!$B$160:$B$161)</f>
        <v>#REF!</v>
      </c>
      <c r="CQ25" s="20" t="e">
        <f>CQ24+SUMPRODUCT(CQ21:CQ22,[1]Fuel_Specs!$B$151:$B$152)+SUMPRODUCT(CQ11:CQ13,[1]Fuel_Specs!$B$157:$B$159)+CQ10*[1]Fuel_Specs!$B$157+SUMPRODUCT(CQ19:CQ20,[1]Fuel_Specs!$B$160:$B$161)</f>
        <v>#REF!</v>
      </c>
      <c r="CR25" s="21" t="e">
        <f ca="1">CR24+SUMPRODUCT(CR21:CR22,[1]Fuel_Specs!$B$151:$B$152)+SUMPRODUCT(CR11:CR13,[1]Fuel_Specs!$B$157:$B$159)+CR10*[1]Fuel_Specs!$B$157+SUMPRODUCT(CR19:CR20,[1]Fuel_Specs!$B$160:$B$161)</f>
        <v>#REF!</v>
      </c>
      <c r="CS25" s="20" t="e">
        <f>CS24+SUMPRODUCT(CS21:CS22,[1]Fuel_Specs!$B$151:$B$152)+SUMPRODUCT(CS11:CS13,[1]Fuel_Specs!$B$157:$B$159)+CS10*[1]Fuel_Specs!$B$157+SUMPRODUCT(CS19:CS20,[1]Fuel_Specs!$B$160:$B$161)</f>
        <v>#REF!</v>
      </c>
      <c r="CT25" s="20" t="e">
        <f ca="1">CT24+SUMPRODUCT(CT21:CT22,[1]Fuel_Specs!$B$151:$B$152)+SUMPRODUCT(CT11:CT13,[1]Fuel_Specs!$B$157:$B$159)+CT10*[1]Fuel_Specs!$B$157+SUMPRODUCT(CT19:CT20,[1]Fuel_Specs!$B$160:$B$161)</f>
        <v>#REF!</v>
      </c>
      <c r="CU25" s="22" t="e">
        <f>CU24+SUMPRODUCT(CU21:CU22,[1]Fuel_Specs!$B$151:$B$152)+SUMPRODUCT(CU11:CU13,[1]Fuel_Specs!$B$157:$B$159)+CU10*[1]Fuel_Specs!$B$157+SUMPRODUCT(CU19:CU20,[1]Fuel_Specs!$B$160:$B$161)</f>
        <v>#REF!</v>
      </c>
      <c r="CV25" s="20" t="e">
        <f ca="1">CV24+SUMPRODUCT(CV21:CV22,[1]Fuel_Specs!$B$151:$B$152)+SUMPRODUCT(CV11:CV13,[1]Fuel_Specs!$B$157:$B$159)+CV10*[1]Fuel_Specs!$B$157+SUMPRODUCT(CV19:CV20,[1]Fuel_Specs!$B$160:$B$161)</f>
        <v>#REF!</v>
      </c>
      <c r="CW25" s="20" t="e">
        <f>CW24+SUMPRODUCT(CW21:CW22,[1]Fuel_Specs!$B$151:$B$152)+SUMPRODUCT(CW11:CW13,[1]Fuel_Specs!$B$157:$B$159)+CW10*[1]Fuel_Specs!$B$157+SUMPRODUCT(CW19:CW20,[1]Fuel_Specs!$B$160:$B$161)</f>
        <v>#REF!</v>
      </c>
      <c r="CX25" s="20" t="e">
        <f ca="1">CX24+SUMPRODUCT(CX21:CX22,[1]Fuel_Specs!$B$151:$B$152)+SUMPRODUCT(CX11:CX13,[1]Fuel_Specs!$B$157:$B$159)+CX10*[1]Fuel_Specs!$B$157+SUMPRODUCT(CX19:CX20,[1]Fuel_Specs!$B$160:$B$161)</f>
        <v>#REF!</v>
      </c>
      <c r="CY25" s="20" t="e">
        <f>CY24+SUMPRODUCT(CY21:CY22,[1]Fuel_Specs!$B$151:$B$152)+SUMPRODUCT(CY11:CY13,[1]Fuel_Specs!$B$157:$B$159)+CY10*[1]Fuel_Specs!$B$157+SUMPRODUCT(CY19:CY20,[1]Fuel_Specs!$B$160:$B$161)</f>
        <v>#REF!</v>
      </c>
      <c r="CZ25" s="21" t="e">
        <f ca="1">CZ24+SUMPRODUCT(CZ21:CZ22,[1]Fuel_Specs!$B$151:$B$152)+SUMPRODUCT(CZ11:CZ13,[1]Fuel_Specs!$B$157:$B$159)+CZ10*[1]Fuel_Specs!$B$157+SUMPRODUCT(CZ19:CZ20,[1]Fuel_Specs!$B$160:$B$161)</f>
        <v>#REF!</v>
      </c>
      <c r="DA25" s="20" t="e">
        <f>DA24+SUMPRODUCT(DA21:DA22,[1]Fuel_Specs!$B$151:$B$152)+SUMPRODUCT(DA11:DA13,[1]Fuel_Specs!$B$157:$B$159)+DA10*[1]Fuel_Specs!$B$157+SUMPRODUCT(DA19:DA20,[1]Fuel_Specs!$B$160:$B$161)</f>
        <v>#REF!</v>
      </c>
      <c r="DB25" s="20" t="e">
        <f ca="1">DB24+SUMPRODUCT(DB21:DB22,[1]Fuel_Specs!$B$151:$B$152)+SUMPRODUCT(DB11:DB13,[1]Fuel_Specs!$B$157:$B$159)+DB10*[1]Fuel_Specs!$B$157+SUMPRODUCT(DB19:DB20,[1]Fuel_Specs!$B$160:$B$161)</f>
        <v>#REF!</v>
      </c>
      <c r="DC25" s="22" t="e">
        <f>DC24+SUMPRODUCT(DC21:DC22,[1]Fuel_Specs!$B$151:$B$152)+SUMPRODUCT(DC11:DC13,[1]Fuel_Specs!$B$157:$B$159)+DC10*[1]Fuel_Specs!$B$157+SUMPRODUCT(DC19:DC20,[1]Fuel_Specs!$B$160:$B$161)</f>
        <v>#REF!</v>
      </c>
      <c r="DD25" s="20" t="e">
        <f ca="1">DD24+SUMPRODUCT(DD21:DD22,[1]Fuel_Specs!$B$151:$B$152)+SUMPRODUCT(DD11:DD13,[1]Fuel_Specs!$B$157:$B$159)+DD10*[1]Fuel_Specs!$B$157+SUMPRODUCT(DD19:DD20,[1]Fuel_Specs!$B$160:$B$161)</f>
        <v>#REF!</v>
      </c>
      <c r="DE25" s="20" t="e">
        <f>DE24+SUMPRODUCT(DE21:DE22,[1]Fuel_Specs!$B$151:$B$152)+SUMPRODUCT(DE11:DE13,[1]Fuel_Specs!$B$157:$B$159)+DE10*[1]Fuel_Specs!$B$157+SUMPRODUCT(DE19:DE20,[1]Fuel_Specs!$B$160:$B$161)</f>
        <v>#REF!</v>
      </c>
      <c r="DF25" s="20" t="e">
        <f ca="1">DF24+SUMPRODUCT(DF21:DF22,[1]Fuel_Specs!$B$151:$B$152)+SUMPRODUCT(DF11:DF13,[1]Fuel_Specs!$B$157:$B$159)+DF10*[1]Fuel_Specs!$B$157+SUMPRODUCT(DF19:DF20,[1]Fuel_Specs!$B$160:$B$161)</f>
        <v>#REF!</v>
      </c>
      <c r="DG25" s="22" t="e">
        <f>DG24+SUMPRODUCT(DG21:DG22,[1]Fuel_Specs!$B$151:$B$152)+SUMPRODUCT(DG11:DG13,[1]Fuel_Specs!$B$157:$B$159)+DG10*[1]Fuel_Specs!$B$157+SUMPRODUCT(DG19:DG20,[1]Fuel_Specs!$B$160:$B$161)</f>
        <v>#REF!</v>
      </c>
      <c r="DH25" s="20" t="e">
        <f ca="1">DH24+SUMPRODUCT(DH21:DH22,[1]Fuel_Specs!$B$151:$B$152)+SUMPRODUCT(DH11:DH13,[1]Fuel_Specs!$B$157:$B$159)+DH10*[1]Fuel_Specs!$B$157+SUMPRODUCT(DH19:DH20,[1]Fuel_Specs!$B$160:$B$161)</f>
        <v>#REF!</v>
      </c>
      <c r="DI25" s="20" t="e">
        <f>DI24+SUMPRODUCT(DI21:DI22,[1]Fuel_Specs!$B$151:$B$152)+SUMPRODUCT(DI11:DI13,[1]Fuel_Specs!$B$157:$B$159)+DI10*[1]Fuel_Specs!$B$157+SUMPRODUCT(DI19:DI20,[1]Fuel_Specs!$B$160:$B$161)</f>
        <v>#REF!</v>
      </c>
      <c r="DJ25" s="20" t="e">
        <f ca="1">DJ24+SUMPRODUCT(DJ21:DJ22,[1]Fuel_Specs!$B$151:$B$152)+SUMPRODUCT(DJ11:DJ13,[1]Fuel_Specs!$B$157:$B$159)+DJ10*[1]Fuel_Specs!$B$157+SUMPRODUCT(DJ19:DJ20,[1]Fuel_Specs!$B$160:$B$161)</f>
        <v>#REF!</v>
      </c>
      <c r="DK25" s="20" t="e">
        <f>DK24+SUMPRODUCT(DK21:DK22,[1]Fuel_Specs!$B$151:$B$152)+SUMPRODUCT(DK11:DK13,[1]Fuel_Specs!$B$157:$B$159)+DK10*[1]Fuel_Specs!$B$157+SUMPRODUCT(DK19:DK20,[1]Fuel_Specs!$B$160:$B$161)</f>
        <v>#REF!</v>
      </c>
      <c r="DL25" s="21" t="e">
        <f>DL24+SUMPRODUCT(DL21:DL22,[1]Fuel_Specs!$B$151:$B$152)+SUMPRODUCT(DL11:DL13,[1]Fuel_Specs!$B$157:$B$159)+DL10*[1]Fuel_Specs!$B$157+SUMPRODUCT(DL19:DL20,[1]Fuel_Specs!$B$160:$B$161)</f>
        <v>#REF!</v>
      </c>
      <c r="DM25" s="20" t="e">
        <f>DM24+SUMPRODUCT(DM21:DM22,[1]Fuel_Specs!$B$151:$B$152)+SUMPRODUCT(DM11:DM13,[1]Fuel_Specs!$B$157:$B$159)+DM10*[1]Fuel_Specs!$B$157+SUMPRODUCT(DM19:DM20,[1]Fuel_Specs!$B$160:$B$161)</f>
        <v>#REF!</v>
      </c>
      <c r="DN25" s="20" t="e">
        <f>DN24+SUMPRODUCT(DN21:DN22,[1]Fuel_Specs!$B$151:$B$152)+SUMPRODUCT(DN11:DN13,[1]Fuel_Specs!$B$157:$B$159)+DN10*[1]Fuel_Specs!$B$157+SUMPRODUCT(DN19:DN20,[1]Fuel_Specs!$B$160:$B$161)</f>
        <v>#REF!</v>
      </c>
      <c r="DO25" s="20" t="e">
        <f>DO24+SUMPRODUCT(DO21:DO22,[1]Fuel_Specs!$B$151:$B$152)+SUMPRODUCT(DO11:DO13,[1]Fuel_Specs!$B$157:$B$159)+DO10*[1]Fuel_Specs!$B$157+SUMPRODUCT(DO19:DO20,[1]Fuel_Specs!$B$160:$B$161)</f>
        <v>#REF!</v>
      </c>
      <c r="DP25" s="20" t="e">
        <f>DP24+SUMPRODUCT(DP21:DP22,[1]Fuel_Specs!$B$151:$B$152)+SUMPRODUCT(DP11:DP13,[1]Fuel_Specs!$B$157:$B$159)+DP10*[1]Fuel_Specs!$B$157+SUMPRODUCT(DP19:DP20,[1]Fuel_Specs!$B$160:$B$161)</f>
        <v>#REF!</v>
      </c>
      <c r="DQ25" s="20" t="e">
        <f>DQ24+SUMPRODUCT(DQ21:DQ22,[1]Fuel_Specs!$B$151:$B$152)+SUMPRODUCT(DQ11:DQ13,[1]Fuel_Specs!$B$157:$B$159)+DQ10*[1]Fuel_Specs!$B$157+SUMPRODUCT(DQ19:DQ20,[1]Fuel_Specs!$B$160:$B$161)</f>
        <v>#REF!</v>
      </c>
      <c r="DR25" s="20" t="e">
        <f>DR24+SUMPRODUCT(DR21:DR22,[1]Fuel_Specs!$B$151:$B$152)+SUMPRODUCT(DR11:DR13,[1]Fuel_Specs!$B$157:$B$159)+DR10*[1]Fuel_Specs!$B$157+SUMPRODUCT(DR19:DR20,[1]Fuel_Specs!$B$160:$B$161)</f>
        <v>#REF!</v>
      </c>
      <c r="DS25" s="20" t="e">
        <f>DS24+SUMPRODUCT(DS21:DS22,[1]Fuel_Specs!$B$151:$B$152)+SUMPRODUCT(DS11:DS13,[1]Fuel_Specs!$B$157:$B$159)+DS10*[1]Fuel_Specs!$B$157+SUMPRODUCT(DS19:DS20,[1]Fuel_Specs!$B$160:$B$161)</f>
        <v>#REF!</v>
      </c>
      <c r="DT25" s="20" t="e">
        <f>DT24+SUMPRODUCT(DT21:DT22,[1]Fuel_Specs!$B$151:$B$152)+SUMPRODUCT(DT11:DT13,[1]Fuel_Specs!$B$157:$B$159)+DT10*[1]Fuel_Specs!$B$157+SUMPRODUCT(DT19:DT20,[1]Fuel_Specs!$B$160:$B$161)</f>
        <v>#REF!</v>
      </c>
      <c r="DU25" s="20" t="e">
        <f>DU24+SUMPRODUCT(DU21:DU22,[1]Fuel_Specs!$B$151:$B$152)+SUMPRODUCT(DU11:DU13,[1]Fuel_Specs!$B$157:$B$159)+DU10*[1]Fuel_Specs!$B$157+SUMPRODUCT(DU19:DU20,[1]Fuel_Specs!$B$160:$B$161)</f>
        <v>#REF!</v>
      </c>
      <c r="DV25" s="20" t="e">
        <f>DV24+SUMPRODUCT(DV21:DV22,[1]Fuel_Specs!$B$151:$B$152)+SUMPRODUCT(DV11:DV13,[1]Fuel_Specs!$B$157:$B$159)+DV10*[1]Fuel_Specs!$B$157+SUMPRODUCT(DV19:DV20,[1]Fuel_Specs!$B$160:$B$161)</f>
        <v>#REF!</v>
      </c>
      <c r="DW25" s="22" t="e">
        <f>DW24+SUMPRODUCT(DW21:DW22,[1]Fuel_Specs!$B$151:$B$152)+SUMPRODUCT(DW11:DW13,[1]Fuel_Specs!$B$157:$B$159)+DW10*[1]Fuel_Specs!$B$157+SUMPRODUCT(DW19:DW20,[1]Fuel_Specs!$B$160:$B$161)</f>
        <v>#REF!</v>
      </c>
      <c r="DX25" s="20" t="e">
        <f ca="1">DX24+SUMPRODUCT(DX21:DX22,[1]Fuel_Specs!$B$151:$B$152)+SUMPRODUCT(DX11:DX13,[1]Fuel_Specs!$B$157:$B$159)+DX10*[1]Fuel_Specs!$B$157+SUMPRODUCT(DX19:DX20,[1]Fuel_Specs!$B$160:$B$161)</f>
        <v>#REF!</v>
      </c>
      <c r="DY25" s="20" t="e">
        <f>DY24+SUMPRODUCT(DY21:DY22,[1]Fuel_Specs!$B$151:$B$152)+SUMPRODUCT(DY11:DY13,[1]Fuel_Specs!$B$157:$B$159)+DY10*[1]Fuel_Specs!$B$157+SUMPRODUCT(DY19:DY20,[1]Fuel_Specs!$B$160:$B$161)</f>
        <v>#REF!</v>
      </c>
      <c r="DZ25" s="20" t="e">
        <f ca="1">DZ24+SUMPRODUCT(DZ21:DZ22,[1]Fuel_Specs!$B$151:$B$152)+SUMPRODUCT(DZ11:DZ13,[1]Fuel_Specs!$B$157:$B$159)+DZ10*[1]Fuel_Specs!$B$157+SUMPRODUCT(DZ19:DZ20,[1]Fuel_Specs!$B$160:$B$161)</f>
        <v>#REF!</v>
      </c>
      <c r="EA25" s="22" t="e">
        <f>EA24+SUMPRODUCT(EA21:EA22,[1]Fuel_Specs!$B$151:$B$152)+SUMPRODUCT(EA11:EA13,[1]Fuel_Specs!$B$157:$B$159)+EA10*[1]Fuel_Specs!$B$157+SUMPRODUCT(EA19:EA20,[1]Fuel_Specs!$B$160:$B$161)</f>
        <v>#REF!</v>
      </c>
      <c r="EB25" s="22" t="e">
        <f>EB24+SUMPRODUCT(EB21:EB22,[1]Fuel_Specs!$B$151:$B$152)+SUMPRODUCT(EB11:EB13,[1]Fuel_Specs!$B$157:$B$159)+EB10*[1]Fuel_Specs!$B$157+SUMPRODUCT(EB19:EB20,[1]Fuel_Specs!$B$160:$B$161)</f>
        <v>#REF!</v>
      </c>
      <c r="EC25" s="20" t="e">
        <f>EC24+SUMPRODUCT(EC21:EC22,[1]Fuel_Specs!$B$151:$B$152)+SUMPRODUCT(EC11:EC13,[1]Fuel_Specs!$B$157:$B$159)+EC10*[1]Fuel_Specs!$B$157+SUMPRODUCT(EC19:EC20,[1]Fuel_Specs!$B$160:$B$161)</f>
        <v>#REF!</v>
      </c>
      <c r="ED25" s="22" t="e">
        <f>ED24+SUMPRODUCT(ED21:ED22,[1]Fuel_Specs!$B$151:$B$152)+SUMPRODUCT(ED11:ED13,[1]Fuel_Specs!$B$157:$B$159)+ED10*[1]Fuel_Specs!$B$157+SUMPRODUCT(ED19:ED20,[1]Fuel_Specs!$B$160:$B$161)</f>
        <v>#REF!</v>
      </c>
      <c r="EE25" s="31" t="e">
        <f>EE24+SUMPRODUCT(EE21:EE22,[1]Fuel_Specs!$B$151:$B$152)+SUMPRODUCT(EE11:EE13,[1]Fuel_Specs!$B$157:$B$159)+EE10*[1]Fuel_Specs!$B$157+SUMPRODUCT(EE19:EE20,[1]Fuel_Specs!$B$160:$B$161)</f>
        <v>#REF!</v>
      </c>
    </row>
    <row r="26" spans="1:135" x14ac:dyDescent="0.25">
      <c r="A26" s="24" t="s">
        <v>143</v>
      </c>
      <c r="B26" s="25" t="e">
        <f>-(1-[1]Inputs!$Q$93)*IF([1]Petroleum!$C$10=2, ([1]Petroleum!$B$167*[1]Petroleum!$J$188+[1]Petroleum!$C$167*[1]Petroleum!$M$188)*[1]Fuel_Specs!$E$52*[1]Petroleum!$G$159,IF([1]Petroleum!$C$10=4,[1]Fuel_Specs!$E$32*[1]Petroleum!$G$161,0))*[1]Fuel_Specs!$F$32*[1]Inputs!$E$96/[1]Fuel_Specs!$B$167/B3</f>
        <v>#DIV/0!</v>
      </c>
      <c r="C26" s="25" t="e">
        <f>-(1-[1]Inputs!$Q$93)*IF([1]Petroleum!$D$10=2, ([1]Petroleum!$B$167*[1]Petroleum!$J$188+[1]Petroleum!$C$167*[1]Petroleum!$M$188)*[1]Fuel_Specs!$E$52*[1]Petroleum!$H$159,IF([1]Petroleum!$D$10=4,[1]Fuel_Specs!$E$32*[1]Petroleum!$H$161,0))*[1]Fuel_Specs!$F$32/[1]Fuel_Specs!$B$167/C3</f>
        <v>#REF!</v>
      </c>
      <c r="D26" s="25" t="e">
        <f>-(1-[1]Inputs!$Q$93)*([1]Fuel_Specs!$E$32/[1]Fuel_Specs!$B$32*D4*[1]Fuel_Specs!$F$32)*$C$7*[1]Fuel_Specs!$B$32/((1-$C$35)*(1-$C$7)*[1]Fuel_Specs!$B$15+$C$35*(1-$C$7)*[1]Fuel_Specs!$B$16+$C$7*[1]Fuel_Specs!$B$32)/[1]Fuel_Specs!$B$167</f>
        <v>#REF!</v>
      </c>
      <c r="E26" s="25">
        <f>IF(NG_CNG_FeedstockShare=4, -([1]Fuel_Specs!$E$81/[1]Fuel_Specs!$B$81*E4*[1]Fuel_Specs!$F$81)/[1]Fuel_Specs!$B$167, 0)</f>
        <v>0</v>
      </c>
      <c r="F26" s="25">
        <f>IF(NG_CNG_FeedstockShare=4, -([1]Fuel_Specs!$E$81/[1]Fuel_Specs!$B$81*F4*[1]Fuel_Specs!$F$81)/[1]Fuel_Specs!$B$167, 0)</f>
        <v>0</v>
      </c>
      <c r="G26" s="25">
        <f>IF(NG_LNG_FeedstockShare=4, -([1]Fuel_Specs!$E$81/[1]Fuel_Specs!$B$81*G4*[1]Fuel_Specs!$F$81)/[1]Fuel_Specs!$B$167, 0)</f>
        <v>0</v>
      </c>
      <c r="H26" s="25">
        <f>IF(NG_LPG_FeedstockShare=4, -([1]Fuel_Specs!$E$36/[1]Fuel_Specs!$B$36*H4*[1]Fuel_Specs!$F$36)/[1]Fuel_Specs!$B$167, 0)*[1]NG!$D$5</f>
        <v>0</v>
      </c>
      <c r="I26" s="25" t="e">
        <f>-IF([1]Petroleum!$C$10=2, ([1]Petroleum!$B$167*[1]Petroleum!$J$188+[1]Petroleum!$C$167*[1]Petroleum!$M$188)*[1]Fuel_Specs!$E$52*[1]Petroleum!$G$159,IF([1]Petroleum!$C$10=4,[1]Fuel_Specs!$E$32*[1]Petroleum!$G$161,0))*[1]Fuel_Specs!$F$32*#REF!/[1]Fuel_Specs!$B$167/I3*(1-$C$5)-IF(OR([1]Inputs!$F$167=5,[1]Inputs!$F$167=9),1,0)*[1]Fuel_Specs!$E$31/[1]Fuel_Specs!$B$31*[1]Fuel_Specs!$F$31/[1]Fuel_Specs!$B$167*I4*$C$5*[1]Fuel_Specs!$B$31/(((1-$C$34)*[1]Fuel_Specs!$B$15+$C$34*[1]Fuel_Specs!$B$16)*(1-$C$5)+$C$5*[1]Fuel_Specs!$B$31)</f>
        <v>#REF!</v>
      </c>
      <c r="J26" s="25" t="e">
        <f>-IF([1]Petroleum!$C$10=2, ([1]Petroleum!$B$167*[1]Petroleum!$J$188+[1]Petroleum!$C$167*[1]Petroleum!$M$188)*[1]Fuel_Specs!$E$52*[1]Petroleum!$G$159,IF([1]Petroleum!$C$10=4,[1]Fuel_Specs!$E$32*[1]Petroleum!$G$161,0))*[1]Fuel_Specs!$F$32*#REF!/[1]Fuel_Specs!$B$167/J3*(1-$C$6)-IF(OR([1]Inputs!$F$167=5,[1]Inputs!$F$167=9),1,0)*[1]Fuel_Specs!$E$31/[1]Fuel_Specs!$B$31*[1]Fuel_Specs!$F$31/[1]Fuel_Specs!$B$167*J4*$C$6*[1]Fuel_Specs!$B$31/(((1-$C$34)*[1]Fuel_Specs!$B$15+$C$34*[1]Fuel_Specs!$B$16)*(1-$C$6)+$C$6*[1]Fuel_Specs!$B$31)</f>
        <v>#REF!</v>
      </c>
      <c r="K26" s="25" t="e">
        <f>-IF([1]Petroleum!$C$10=2, ([1]Petroleum!$B$167*[1]Petroleum!$J$188+[1]Petroleum!$C$167*[1]Petroleum!$M$188)*[1]Fuel_Specs!$E$52*[1]Petroleum!$G$159,IF([1]Petroleum!$C$10=4,[1]Fuel_Specs!$E$32*[1]Petroleum!$G$161,0))*[1]Fuel_Specs!$F$32*$C$36/[1]Fuel_Specs!$B$167/K3*(1-$C$8)-(1-[1]Inputs!$Q$93)*([1]Fuel_Specs!$E$32/[1]Fuel_Specs!$B$32*K4*[1]Fuel_Specs!$F$32)*$C$8*[1]Fuel_Specs!$B$32/((1-$C$36)*(1-$C$8)*[1]Fuel_Specs!$B$15+$C$36*(1-$C$8)*[1]Fuel_Specs!$B$16+$C$8*[1]Fuel_Specs!$B$32)/[1]Fuel_Specs!$B$167</f>
        <v>#REF!</v>
      </c>
      <c r="L26" s="25" t="e">
        <f>-IF([1]Petroleum!$C$10=2, ([1]Petroleum!$B$167*[1]Petroleum!$J$188+[1]Petroleum!$C$167*[1]Petroleum!$M$188)*[1]Fuel_Specs!$E$52*[1]Petroleum!$G$159,IF([1]Petroleum!$C$10=4,[1]Fuel_Specs!$E$32*[1]Petroleum!$G$161,0))*[1]Fuel_Specs!$F$32*#REF!/[1]Fuel_Specs!$B$167/L3*(1-$C$12)-([1]Fuel_Specs!$E$33/[1]Fuel_Specs!$B$33*L4*[1]Fuel_Specs!$F$33)*$C$12*[1]Fuel_Specs!$B$33/((1-$C$37)*(1-$C$12)*[1]Fuel_Specs!$B$15+$C$37*(1-$C$12)*[1]Fuel_Specs!$B$16+$C$12*[1]Fuel_Specs!$B$33)/[1]Fuel_Specs!$B$167</f>
        <v>#REF!</v>
      </c>
      <c r="M26" s="25" t="e">
        <f>-IF([1]Petroleum!$C$10=2, ([1]Petroleum!$B$167*[1]Petroleum!$J$188+[1]Petroleum!$C$167*[1]Petroleum!$M$188)*[1]Fuel_Specs!$E$52*[1]Petroleum!$G$159,IF([1]Petroleum!$C$10=4,[1]Fuel_Specs!$E$32*[1]Petroleum!$G$161,0))*[1]Fuel_Specs!$F$32*#REF!/[1]Fuel_Specs!$B$167/M3*(1-$C$9)-(1-[1]Inputs!$Q$93)*([1]Fuel_Specs!$E$32/[1]Fuel_Specs!$B$32*M4*[1]Fuel_Specs!$F$32)*$C$9*[1]Fuel_Specs!$B$32/((1-$C$36)*(1-$C$9)*[1]Fuel_Specs!$B$15+$C$36*(1-$C$9)*[1]Fuel_Specs!$B$16+$C$9*[1]Fuel_Specs!$B$32)/[1]Fuel_Specs!$B$167</f>
        <v>#REF!</v>
      </c>
      <c r="N26" s="25"/>
      <c r="O26" s="25"/>
      <c r="P26" s="25" t="e">
        <f>-([1]Fuel_Specs!#REF!/[1]Fuel_Specs!#REF!)*P4*[1]Fuel_Specs!#REF!*$C$16*[1]Fuel_Specs!#REF!/((1-$C$40)*(1-$C$16)*[1]Fuel_Specs!$B$15+$C$40*(1-$C$16)*[1]Fuel_Specs!$B$16+$C$16*[1]Fuel_Specs!#REF!)/[1]Fuel_Specs!$B$167</f>
        <v>#REF!</v>
      </c>
      <c r="Q26" s="25" t="e">
        <f>-([1]Fuel_Specs!#REF!/[1]Fuel_Specs!#REF!)*Q4*[1]Fuel_Specs!#REF!*$C$16*[1]Fuel_Specs!#REF!/((1-$C$40)*(1-$C$16)*[1]Fuel_Specs!$B$15+$C$40*(1-$C$16)*[1]Fuel_Specs!$B$16+$C$16*[1]Fuel_Specs!#REF!)/[1]Fuel_Specs!$B$167</f>
        <v>#REF!</v>
      </c>
      <c r="R26" s="25" t="e">
        <f>-([1]Fuel_Specs!#REF!/[1]Fuel_Specs!#REF!)*R4*[1]Fuel_Specs!#REF!*$C$16*[1]Fuel_Specs!#REF!/((1-$C$40)*(1-$C$16)*[1]Fuel_Specs!$B$15+$C$40*(1-$C$16)*[1]Fuel_Specs!$B$16+$C$16*[1]Fuel_Specs!#REF!)/[1]Fuel_Specs!$B$167</f>
        <v>#REF!</v>
      </c>
      <c r="S26" s="25" t="e">
        <f>-(1-[1]Inputs!$Q$93)*[1]Fuel_Specs!$E$32*[1]Petroleum!$G$161*[1]Fuel_Specs!$F$32*[1]Inputs!$E$96/[1]Fuel_Specs!$B$167/S3</f>
        <v>#REF!</v>
      </c>
      <c r="T26" s="25" t="e">
        <f>-(1-[1]Inputs!$Q$93)*([1]Fuel_Specs!$E$32/[1]Fuel_Specs!$B$32*T4*[1]Fuel_Specs!$F$32)*$C$10*[1]Fuel_Specs!$B$32/((1-$C$38)*(1-$C$10)*[1]Fuel_Specs!$B$15+$C$38*(1-$C$10)*[1]Fuel_Specs!$B$16+$C$10*[1]Fuel_Specs!$B$32)/[1]Fuel_Specs!$B$167</f>
        <v>#REF!</v>
      </c>
      <c r="U26" s="25" t="e">
        <f>-(1-[1]Inputs!$Q$93)*([1]Fuel_Specs!$E$32/[1]Fuel_Specs!$B$32*U4*[1]Fuel_Specs!$F$32)*$C$11*[1]Fuel_Specs!$B$32/((1-$C$39)*(1-$C$11)*[1]Fuel_Specs!$B$15+$C$39*(1-$C$11)*[1]Fuel_Specs!$B$16+$C$11*[1]Fuel_Specs!$B$32)/[1]Fuel_Specs!$B$167</f>
        <v>#REF!</v>
      </c>
      <c r="V26" s="26" t="e">
        <f>-(1-[1]Inputs!$Q$93)*IF([1]Petroleum!$C$10=2, ([1]Petroleum!$B$167*[1]Petroleum!$J$188+[1]Petroleum!$C$167*[1]Petroleum!$M$188)*[1]Fuel_Specs!$E$52*[1]Petroleum!$G$159,IF([1]Petroleum!$C$10=4,[1]Fuel_Specs!$E$32*[1]Petroleum!$G$161,0))*[1]Fuel_Specs!$F$32*[1]Inputs!$E$96/[1]Fuel_Specs!$B$167/V3</f>
        <v>#REF!</v>
      </c>
      <c r="W26" s="25" t="e">
        <f>-(1-[1]Inputs!$Q$93)*IF([1]Petroleum!$D$10=2, ([1]Petroleum!$B$167*[1]Petroleum!$J$188+[1]Petroleum!$C$167*[1]Petroleum!$M$188)*[1]Fuel_Specs!$E$52*[1]Petroleum!$H$159,IF([1]Petroleum!$D$10=4,[1]Fuel_Specs!$E$32*[1]Petroleum!$H$161,0))*[1]Fuel_Specs!$F$32/[1]Fuel_Specs!$B$167/W3</f>
        <v>#REF!</v>
      </c>
      <c r="X26" s="25" t="e">
        <f>-(1-[1]Inputs!$Q$93)*([1]Fuel_Specs!$E$32/[1]Fuel_Specs!$B$32*X4*[1]Fuel_Specs!$F$32)*$C$7*[1]Fuel_Specs!$B$32/((1-$C$35)*(1-$C$7)*[1]Fuel_Specs!$B$15+$C$35*(1-$C$7)*[1]Fuel_Specs!$B$16+$C$7*[1]Fuel_Specs!$B$32)/[1]Fuel_Specs!$B$167</f>
        <v>#REF!</v>
      </c>
      <c r="Y26" s="25" t="e">
        <f>-IF([1]Petroleum!$C$10=2, ([1]Petroleum!$B$167*[1]Petroleum!$J$188+[1]Petroleum!$C$167*[1]Petroleum!$M$188)*[1]Fuel_Specs!$E$52*[1]Petroleum!$G$159,IF([1]Petroleum!$C$10=4,[1]Fuel_Specs!$E$32*[1]Petroleum!$G$161,0))*[1]Fuel_Specs!$F$32*#REF!/[1]Fuel_Specs!$B$167/Y3*(1-$C$6)-IF(OR([1]Inputs!$F$167=5,[1]Inputs!$F$167=9),1,0)*[1]Fuel_Specs!$E$31/[1]Fuel_Specs!$B$31*[1]Fuel_Specs!$F$31/[1]Fuel_Specs!$B$167*Y4*$C$6*[1]Fuel_Specs!$B$31/(((1-$C$34)*[1]Fuel_Specs!$B$15+$C$34*[1]Fuel_Specs!$B$16)*(1-$C$6)+$C$6*[1]Fuel_Specs!$B$31)</f>
        <v>#REF!</v>
      </c>
      <c r="Z26" s="27" t="e">
        <f>-IF([1]Petroleum!$C$10=2, ([1]Petroleum!$B$167*[1]Petroleum!$J$188+[1]Petroleum!$C$167*[1]Petroleum!$M$188)*[1]Fuel_Specs!$E$52*[1]Petroleum!$G$159,IF([1]Petroleum!$C$10=4,[1]Fuel_Specs!$E$32*[1]Petroleum!$G$161,0))*[1]Fuel_Specs!$F$32*#REF!/[1]Fuel_Specs!$B$167/Z3*(1-$C$9)-(1-[1]Inputs!$Q$93)*([1]Fuel_Specs!$E$32/[1]Fuel_Specs!$B$32*Z4*[1]Fuel_Specs!$F$32)*$C$9*[1]Fuel_Specs!$B$32/((1-$C$36)*(1-$C$9)*[1]Fuel_Specs!$B$15+$C$36*(1-$C$9)*[1]Fuel_Specs!$B$16+$C$9*[1]Fuel_Specs!$B$32)/[1]Fuel_Specs!$B$167</f>
        <v>#REF!</v>
      </c>
      <c r="AA26" s="25"/>
      <c r="AB26" s="25" t="e">
        <f>-IF(OR([1]Inputs!$F$168=5,[1]Inputs!$F$168=9),1,IF(AND([1]Inputs!$F$168=10,OR([1]Inputs!$F$167=5,[1]Inputs!$F$167=9)),1,0))*([1]Fuel_Specs!#REF!/[1]Fuel_Specs!#REF!*AB4*[1]Fuel_Specs!#REF!)/[1]Fuel_Specs!$B$167</f>
        <v>#REF!</v>
      </c>
      <c r="AC26" s="25" t="e">
        <f>-IF(OR([1]Inputs!$F$169=5),1,IF([1]Inputs!$F$169=7,[1]MeOH_FTD!$B$37,IF([1]Inputs!$F$169=8,[1]MeOH_FTD!$F$37,0)))*([1]Fuel_Specs!#REF!/[1]Fuel_Specs!#REF!*AC4*[1]Fuel_Specs!#REF!)*$C$13*[1]Fuel_Specs!#REF!/((1-$C$41)*(1-$C$13)*[1]Fuel_Specs!$B$20+$C$41*(1-$C$13)*[1]Fuel_Specs!$B$23+$C$13*[1]Fuel_Specs!#REF!)/[1]Fuel_Specs!$B$167</f>
        <v>#REF!</v>
      </c>
      <c r="AD26" s="25" t="e">
        <f>-([1]Fuel_Specs!#REF!/[1]Fuel_Specs!#REF!*AD4*[1]Fuel_Specs!#REF!)*$C$14*[1]Fuel_Specs!#REF!/((1-$C$42)*(1-$C$14)*[1]Fuel_Specs!$B$20+$C$42*(1-$C$14)*[1]Fuel_Specs!$B$23+$C$14*[1]Fuel_Specs!#REF!)/[1]Fuel_Specs!$B$167*(1-(IF([1]BioOil!$C$7=7,[1]BioOil!$FP$399,IF([1]BioOil!$C$7=6,[1]Algae!$P$466,IF([1]BioOil!$C$7=10,[1]BioOil!$FX$399,IF([1]BioOil!$C$7=11,[1]BioOil!$BW$399,[1]BioOil!$EX$399)))))/[1]Fuel_Specs!$B$31*FuelSpec_MeOH_Density*[1]Fuel_Specs!$F$31/(lb2g*FuelSpec_BD_CContent))</f>
        <v>#REF!</v>
      </c>
      <c r="AE26" s="25" t="e">
        <f>-(IF([1]Inputs!$E$755=1,[1]Fuel_Specs!$E$42,IF([1]Inputs!$E$755=3,[1]Fuel_Specs!$E$44,[1]Fuel_Specs!$E$43))/IF([1]Inputs!$E$755=1,[1]Fuel_Specs!$B$42,IF([1]Inputs!$E$755=3,[1]Fuel_Specs!$B$44,[1]Fuel_Specs!$B$43))*AE4*IF([1]Inputs!$E$755=1,[1]Fuel_Specs!#REF!,[1]Fuel_Specs!#REF!))*$C$15*IF([1]Inputs!$E$755=1,[1]Fuel_Specs!$B$42,IF([1]Inputs!$E$755=3,[1]Fuel_Specs!$B$44,[1]Fuel_Specs!$B$43))/((1-$C$43)*(1-$C$15)*[1]Fuel_Specs!$B$20+$C$43*(1-$C$15)*[1]Fuel_Specs!$B$23+$C$15*IF([1]Inputs!$E$755=1,[1]Fuel_Specs!$B$42,IF([1]Inputs!$E$755=3,[1]Fuel_Specs!$B$44,[1]Fuel_Specs!$B$43)))/[1]Fuel_Specs!$B$167</f>
        <v>#REF!</v>
      </c>
      <c r="AF26" s="25" t="e">
        <f>-IF([1]Inputs!$Q$382=100%,0,1)*([1]Fuel_Specs!$E$32/[1]Fuel_Specs!$B$32*AF4*[1]Fuel_Specs!$F$32)*$C$17*[1]Fuel_Specs!$B$32/((1-$C$44)*(1-$C$17-$C$18)*[1]Fuel_Specs!$B$20+$C$44*(1-$C$17-$C$18)*[1]Fuel_Specs!$B$23+$C$17*[1]Fuel_Specs!$B$32+$C$18*[1]Fuel_Specs!$B$35)/[1]Fuel_Specs!$B$167</f>
        <v>#REF!</v>
      </c>
      <c r="AG26" s="25"/>
      <c r="AH26" s="26" t="e">
        <f>-(1-[1]Inputs!$Q$93)*IF([1]Petroleum!$C$10=2, ([1]Petroleum!$B$167*[1]Petroleum!$J$188+[1]Petroleum!$C$167*[1]Petroleum!$M$188)*[1]Fuel_Specs!$E$52*[1]Petroleum!$G$159,IF([1]Petroleum!$C$10=4,[1]Fuel_Specs!$E$32*[1]Petroleum!$G$161,0))*[1]Fuel_Specs!$F$32*[1]Inputs!$E$96/[1]Fuel_Specs!$B$167/AH3</f>
        <v>#REF!</v>
      </c>
      <c r="AI26" s="25" t="e">
        <f>-(1-[1]Inputs!$Q$93)*IF([1]Petroleum!$D$10=2, ([1]Petroleum!$B$167*[1]Petroleum!$J$188+[1]Petroleum!$C$167*[1]Petroleum!$M$188)*[1]Fuel_Specs!$E$52*[1]Petroleum!$H$159,IF([1]Petroleum!$D$10=4,[1]Fuel_Specs!$E$32*[1]Petroleum!$H$161,0))*[1]Fuel_Specs!$F$32/[1]Fuel_Specs!$B$167/AI3</f>
        <v>#REF!</v>
      </c>
      <c r="AJ26" s="25" t="e">
        <f>-([1]Fuel_Specs!#REF!/[1]Fuel_Specs!#REF!)*AJ4*[1]Fuel_Specs!#REF!*$C$16*[1]Fuel_Specs!#REF!/((1-$C$40)*(1-$C$16)*[1]Fuel_Specs!$B$15+$C$40*(1-$C$16)*[1]Fuel_Specs!$B$16+$C$16*[1]Fuel_Specs!#REF!)/[1]Fuel_Specs!$B$167</f>
        <v>#REF!</v>
      </c>
      <c r="AK26" s="25" t="e">
        <f>-(1-[1]Inputs!$Q$93)*([1]Fuel_Specs!$E$32/[1]Fuel_Specs!$B$32*AK4*[1]Fuel_Specs!$F$32)*$C$7*[1]Fuel_Specs!$B$32/((1-$C$35)*(1-$C$7)*[1]Fuel_Specs!$B$15+$C$35*(1-$C$7)*[1]Fuel_Specs!$B$16+$C$7*[1]Fuel_Specs!$B$32)/[1]Fuel_Specs!$B$167</f>
        <v>#REF!</v>
      </c>
      <c r="AL26" s="25">
        <f>IF(NG_CNG_FeedstockShare=4, -([1]Fuel_Specs!$E$81/[1]Fuel_Specs!$B$81*AL4*[1]Fuel_Specs!$F$81)/[1]Fuel_Specs!$B$167, 0)</f>
        <v>0</v>
      </c>
      <c r="AM26" s="25">
        <f>IF(NG_LNG_FeedstockShare=4, -([1]Fuel_Specs!$E$81/[1]Fuel_Specs!$B$81*AM4*[1]Fuel_Specs!$F$81)/[1]Fuel_Specs!$B$167, 0)</f>
        <v>0</v>
      </c>
      <c r="AN26" s="25">
        <f>IF(NG_LPG_FeedstockShare=4, -([1]Fuel_Specs!$E$36/[1]Fuel_Specs!$B$36*AN4*[1]Fuel_Specs!$F$36)/[1]Fuel_Specs!$B$167, 0)*[1]NG!$D$5</f>
        <v>0</v>
      </c>
      <c r="AO26" s="25" t="e">
        <f>-IF([1]Petroleum!$C$10=2, ([1]Petroleum!$B$167*[1]Petroleum!$J$188+[1]Petroleum!$C$167*[1]Petroleum!$M$188)*[1]Fuel_Specs!$E$52*[1]Petroleum!$G$159,IF([1]Petroleum!$C$10=4,[1]Fuel_Specs!$E$32*[1]Petroleum!$G$161,0))*[1]Fuel_Specs!$F$32*#REF!/[1]Fuel_Specs!$B$167/AO3*(1-$C$6)-IF(OR([1]Inputs!$F$167=5,[1]Inputs!$F$167=9),1,0)*[1]Fuel_Specs!$E$31/[1]Fuel_Specs!$B$31*[1]Fuel_Specs!$F$31/[1]Fuel_Specs!$B$167*AO4*$C$6*[1]Fuel_Specs!$B$31/(((1-$C$34)*[1]Fuel_Specs!$B$15+$C$34*[1]Fuel_Specs!$B$16)*(1-$C$6)+$C$6*[1]Fuel_Specs!$B$31)</f>
        <v>#REF!</v>
      </c>
      <c r="AP26" s="25" t="e">
        <f>-IF([1]Petroleum!$C$10=2, ([1]Petroleum!$B$167*[1]Petroleum!$J$188+[1]Petroleum!$C$167*[1]Petroleum!$M$188)*[1]Fuel_Specs!$E$52*[1]Petroleum!$G$159,IF([1]Petroleum!$C$10=4,[1]Fuel_Specs!$E$32*[1]Petroleum!$G$161,0))*[1]Fuel_Specs!$F$32*#REF!/[1]Fuel_Specs!$B$167/AP3*(1-$C$9)-(1-[1]Inputs!$Q$93)*([1]Fuel_Specs!$E$32/[1]Fuel_Specs!$B$32*AP4*[1]Fuel_Specs!$F$32)*$C$9*[1]Fuel_Specs!$B$32/((1-$C$36)*(1-$C$9)*[1]Fuel_Specs!$B$15+$C$36*(1-$C$9)*[1]Fuel_Specs!$B$16+$C$9*[1]Fuel_Specs!$B$32)/[1]Fuel_Specs!$B$167</f>
        <v>#REF!</v>
      </c>
      <c r="AQ26" s="25"/>
      <c r="AR26" s="27"/>
      <c r="AS26" s="25" t="e">
        <f ca="1">AU26+AT26</f>
        <v>#REF!</v>
      </c>
      <c r="AT26" s="25"/>
      <c r="AU26" s="25" t="e">
        <f ca="1">-IF([1]Petroleum!$C$10=2, ([1]Petroleum!$B$167*[1]Petroleum!$J$188+[1]Petroleum!$C$167*[1]Petroleum!$M$188)*[1]Fuel_Specs!$E$52*[1]Petroleum!$G$159,IF([1]Petroleum!$C$10=4,[1]Fuel_Specs!$E$32*[1]Petroleum!$G$161,0))*[1]Fuel_Specs!$F$32*[1]Inputs!$E$96/[1]Fuel_Specs!$B$167/AU3</f>
        <v>#REF!</v>
      </c>
      <c r="AV26" s="25" t="e">
        <f>-(1-[1]Inputs!$Q$93)*IF([1]Petroleum!$C$10=2, ([1]Petroleum!$B$167*[1]Petroleum!$J$188+[1]Petroleum!$C$167*[1]Petroleum!$M$188)*[1]Fuel_Specs!$E$52*[1]Petroleum!$G$159,IF([1]Petroleum!$C$10=4,[1]Fuel_Specs!$E$32*[1]Petroleum!$G$161,0))*[1]Fuel_Specs!$F$32*[1]Inputs!$E$96/[1]Fuel_Specs!$B$167/AV3</f>
        <v>#REF!</v>
      </c>
      <c r="AW26" s="26" t="e">
        <f ca="1">AY26+AX26</f>
        <v>#REF!</v>
      </c>
      <c r="AX26" s="25"/>
      <c r="AY26" s="25" t="e">
        <f ca="1">-(1-[1]Inputs!$Q$93)*IF([1]Petroleum!$D$10=2, ([1]Petroleum!$B$167*[1]Petroleum!$J$188+[1]Petroleum!$C$167*[1]Petroleum!$M$188)*[1]Fuel_Specs!$E$52*[1]Petroleum!$H$159,IF([1]Petroleum!$D$10=4,[1]Fuel_Specs!$E$32*[1]Petroleum!$H$161,0))*[1]Fuel_Specs!$F$32/[1]Fuel_Specs!$B$167/AY3</f>
        <v>#REF!</v>
      </c>
      <c r="AZ26" s="27" t="e">
        <f>-(1-[1]Inputs!$Q$93)*IF([1]Petroleum!$D$10=2, ([1]Petroleum!$B$167*[1]Petroleum!$J$188+[1]Petroleum!$C$167*[1]Petroleum!$M$188)*[1]Fuel_Specs!$E$52*[1]Petroleum!$H$159,IF([1]Petroleum!$D$10=4,[1]Fuel_Specs!$E$32*[1]Petroleum!$H$161,0))*[1]Fuel_Specs!$F$32/[1]Fuel_Specs!$B$167/AZ3</f>
        <v>#REF!</v>
      </c>
      <c r="BA26" s="26" t="e">
        <f ca="1">BC26+BB26</f>
        <v>#REF!</v>
      </c>
      <c r="BB26" s="25"/>
      <c r="BC26" s="25" t="e">
        <f ca="1">-([1]Fuel_Specs!#REF!/[1]Fuel_Specs!#REF!)*BC4*[1]Fuel_Specs!#REF!*$C$16*[1]Fuel_Specs!#REF!/((1-$C$40)*(1-$C$16)*[1]Fuel_Specs!$B$15+$C$40*(1-$C$16)*[1]Fuel_Specs!$B$16+$C$16*[1]Fuel_Specs!#REF!)/[1]Fuel_Specs!$B$167</f>
        <v>#REF!</v>
      </c>
      <c r="BD26" s="27" t="e">
        <f>-([1]Fuel_Specs!#REF!/[1]Fuel_Specs!#REF!)*BD4*[1]Fuel_Specs!#REF!*$C$16*[1]Fuel_Specs!#REF!/((1-$C$40)*(1-$C$16)*[1]Fuel_Specs!$B$15+$C$40*(1-$C$16)*[1]Fuel_Specs!$B$16+$C$16*[1]Fuel_Specs!#REF!)/[1]Fuel_Specs!$B$167</f>
        <v>#REF!</v>
      </c>
      <c r="BE26" s="25" t="e">
        <f ca="1">BG26+BF26</f>
        <v>#REF!</v>
      </c>
      <c r="BF26" s="25"/>
      <c r="BG26" s="25" t="e">
        <f ca="1">-([1]Fuel_Specs!$E$32/[1]Fuel_Specs!$B$32*BG4*[1]Fuel_Specs!$F$32)*$C$7*[1]Fuel_Specs!$B$32/((1-$C$35)*(1-$C$7)*[1]Fuel_Specs!$B$15+$C$35*(1-$C$7)*[1]Fuel_Specs!$B$16+$C$7*[1]Fuel_Specs!$B$32)/[1]Fuel_Specs!$B$167</f>
        <v>#REF!</v>
      </c>
      <c r="BH26" s="25" t="e">
        <f>-(1-[1]Inputs!$Q$93)*([1]Fuel_Specs!$E$32/[1]Fuel_Specs!$B$32*BH4*[1]Fuel_Specs!$F$32)*$C$7*[1]Fuel_Specs!$B$32/((1-$C$35)*(1-$C$7)*[1]Fuel_Specs!$B$15+$C$35*(1-$C$7)*[1]Fuel_Specs!$B$16+$C$7*[1]Fuel_Specs!$B$32)/[1]Fuel_Specs!$B$167</f>
        <v>#REF!</v>
      </c>
      <c r="BI26" s="26">
        <f>BK26+BJ26</f>
        <v>0</v>
      </c>
      <c r="BJ26" s="25"/>
      <c r="BK26" s="25"/>
      <c r="BL26" s="25">
        <f>IF(NG_CNG_FeedstockShare=4, -([1]Fuel_Specs!$E$81/[1]Fuel_Specs!$B$81*BL4*[1]Fuel_Specs!$F$81)/[1]Fuel_Specs!$B$167, 0)</f>
        <v>0</v>
      </c>
      <c r="BM26" s="25">
        <f>BO26+BN26</f>
        <v>0</v>
      </c>
      <c r="BN26" s="25"/>
      <c r="BO26" s="25"/>
      <c r="BP26" s="25">
        <f>IF(NG_LNG_FeedstockShare=4, -([1]Fuel_Specs!$E$81/[1]Fuel_Specs!$B$81*BP4*[1]Fuel_Specs!$F$81)/[1]Fuel_Specs!$B$167, 0)</f>
        <v>0</v>
      </c>
      <c r="BQ26" s="26">
        <f>BS26+BR26</f>
        <v>0</v>
      </c>
      <c r="BR26" s="25"/>
      <c r="BS26" s="25"/>
      <c r="BT26" s="25">
        <f>IF(NG_LPG_FeedstockShare=4, -([1]Fuel_Specs!$E$36/[1]Fuel_Specs!$B$36*BT4*[1]Fuel_Specs!$F$36)/[1]Fuel_Specs!$B$167, 0)*[1]NG!$D$5</f>
        <v>0</v>
      </c>
      <c r="BU26" s="25" t="e">
        <f ca="1">BW26+BV26</f>
        <v>#REF!</v>
      </c>
      <c r="BV26" s="25"/>
      <c r="BW26" s="25" t="e">
        <f ca="1">-IF([1]Petroleum!$C$10=2, ([1]Petroleum!$B$167*[1]Petroleum!$J$188+[1]Petroleum!$C$167*[1]Petroleum!$M$188)*[1]Fuel_Specs!$E$52*[1]Petroleum!$G$159,IF([1]Petroleum!$C$10=4,[1]Fuel_Specs!$E$32*[1]Petroleum!$G$161,0))*[1]Fuel_Specs!$F$32*#REF!/[1]Fuel_Specs!$B$167/BW3*(1-$C$6)-IF(OR([1]Inputs!$F$167=5,[1]Inputs!$F$167=9),1,0)*[1]Fuel_Specs!$E$31/[1]Fuel_Specs!$B$31*[1]Fuel_Specs!$F$31/[1]Fuel_Specs!$B$167*BW4*$C$6*[1]Fuel_Specs!$B$31/(((1-$C$34)*[1]Fuel_Specs!$B$15+$C$34*[1]Fuel_Specs!$B$16)*(1-$C$6)+$C$6*[1]Fuel_Specs!$B$31)</f>
        <v>#REF!</v>
      </c>
      <c r="BX26" s="25" t="e">
        <f>-IF([1]Petroleum!$C$10=2, ([1]Petroleum!$B$167*[1]Petroleum!$J$188+[1]Petroleum!$C$167*[1]Petroleum!$M$188)*[1]Fuel_Specs!$E$52*[1]Petroleum!$G$159,IF([1]Petroleum!$C$10=4,[1]Fuel_Specs!$E$32*[1]Petroleum!$G$161,0))*[1]Fuel_Specs!$F$32*#REF!/[1]Fuel_Specs!$B$167/BX3*(1-$C$6)-IF(OR([1]Inputs!$F$167=5,[1]Inputs!$F$167=9),1,0)*[1]Fuel_Specs!$E$31/[1]Fuel_Specs!$B$31*[1]Fuel_Specs!$F$31/[1]Fuel_Specs!$B$167*BX4*$C$6*[1]Fuel_Specs!$B$31/(((1-$C$34)*[1]Fuel_Specs!$B$15+$C$34*[1]Fuel_Specs!$B$16)*(1-$C$6)+$C$6*[1]Fuel_Specs!$B$31)</f>
        <v>#REF!</v>
      </c>
      <c r="BY26" s="26" t="e">
        <f ca="1">CA26+BZ26</f>
        <v>#REF!</v>
      </c>
      <c r="BZ26" s="25"/>
      <c r="CA26" s="25" t="e">
        <f ca="1">-IF([1]Petroleum!$C$10=2, ([1]Petroleum!$B$167*[1]Petroleum!$J$188+[1]Petroleum!$C$167*[1]Petroleum!$M$188)*[1]Fuel_Specs!$E$52*[1]Petroleum!$G$159,IF([1]Petroleum!$C$10=4,[1]Fuel_Specs!$E$32*[1]Petroleum!$G$161,0))*[1]Fuel_Specs!$F$32*#REF!/[1]Fuel_Specs!$B$167/CA3*(1-$C$9)-([1]Fuel_Specs!$E$32/[1]Fuel_Specs!$B$32*CA4*[1]Fuel_Specs!$F$32)*$C$9*[1]Fuel_Specs!$B$32/((1-$C$36)*(1-$C$9)*[1]Fuel_Specs!$B$15+$C$36*(1-$C$9)*[1]Fuel_Specs!$B$16+$C$9*[1]Fuel_Specs!$B$32)/[1]Fuel_Specs!$B$167</f>
        <v>#REF!</v>
      </c>
      <c r="CB26" s="27" t="e">
        <f>-IF([1]Petroleum!$C$10=2, ([1]Petroleum!$B$167*[1]Petroleum!$J$188+[1]Petroleum!$C$167*[1]Petroleum!$M$188)*[1]Fuel_Specs!$E$52*[1]Petroleum!$G$159,IF([1]Petroleum!$C$10=4,[1]Fuel_Specs!$E$32*[1]Petroleum!$G$161,0))*[1]Fuel_Specs!$F$32*#REF!/[1]Fuel_Specs!$B$167/CB3*(1-$C$9)-(1-[1]Inputs!$Q$93)*([1]Fuel_Specs!$E$32/[1]Fuel_Specs!$B$32*CB4*[1]Fuel_Specs!$F$32)*$C$9*[1]Fuel_Specs!$B$32/((1-$C$36)*(1-$C$9)*[1]Fuel_Specs!$B$15+$C$36*(1-$C$9)*[1]Fuel_Specs!$B$16+$C$9*[1]Fuel_Specs!$B$32)/[1]Fuel_Specs!$B$167</f>
        <v>#REF!</v>
      </c>
      <c r="CC26" s="25"/>
      <c r="CD26" s="25"/>
      <c r="CE26" s="25"/>
      <c r="CF26" s="25"/>
      <c r="CG26" s="25"/>
      <c r="CH26" s="26"/>
      <c r="CI26" s="25" t="e">
        <f>-IF(OR([1]Inputs!$F$168=5,[1]Inputs!$F$168=9),1,IF(AND([1]Inputs!$F$168=10,OR([1]Inputs!$F$167=5,[1]Inputs!$F$167=9)),1,0))*([1]Fuel_Specs!#REF!/[1]Fuel_Specs!#REF!*CI4*[1]Fuel_Specs!#REF!)/[1]Fuel_Specs!$B$167</f>
        <v>#REF!</v>
      </c>
      <c r="CJ26" s="25" t="e">
        <f>-IF(OR([1]Inputs!$F$169=5),1,IF([1]Inputs!$F$169=7,[1]MeOH_FTD!$B$37,IF([1]Inputs!$F$169=8,[1]MeOH_FTD!$F$37,0)))*([1]Fuel_Specs!#REF!/[1]Fuel_Specs!#REF!*CJ4*[1]Fuel_Specs!#REF!)*$C$13*[1]Fuel_Specs!#REF!/((1-$C$41)*(1-$C$13)*[1]Fuel_Specs!$B$20+$C$41*(1-$C$13)*[1]Fuel_Specs!$B$23+$C$13*[1]Fuel_Specs!#REF!)/[1]Fuel_Specs!$B$167</f>
        <v>#REF!</v>
      </c>
      <c r="CK26" s="25" t="e">
        <f>-([1]Fuel_Specs!#REF!/[1]Fuel_Specs!#REF!*CK4*[1]Fuel_Specs!#REF!)*$C$14*[1]Fuel_Specs!#REF!/((1-$C$42)*(1-$C$14)*[1]Fuel_Specs!$B$20+$C$42*(1-$C$14)*[1]Fuel_Specs!$B$23+$C$14*[1]Fuel_Specs!#REF!)/[1]Fuel_Specs!$B$167*(1-(IF([1]BioOil!$C$7=7,[1]BioOil!$FP$399,IF([1]BioOil!$C$7=6,[1]Algae!$P$466,IF([1]BioOil!$C$7=10,[1]BioOil!$FX$399,IF([1]BioOil!$C$7=11,[1]BioOil!$BW$399,[1]BioOil!$EX$399)))))/[1]Fuel_Specs!$B$31*FuelSpec_MeOH_Density*[1]Fuel_Specs!$F$31/(lb2g*FuelSpec_BD_CContent))</f>
        <v>#REF!</v>
      </c>
      <c r="CL26" s="25" t="e">
        <f>-(IF([1]Inputs!$E$755=1,[1]Fuel_Specs!#REF!,[1]Fuel_Specs!#REF!)/IF([1]Inputs!$E$755=1,[1]Fuel_Specs!#REF!,[1]Fuel_Specs!#REF!)*CL4*IF([1]Inputs!$E$755=1,[1]Fuel_Specs!#REF!,[1]Fuel_Specs!#REF!))*$C$15*IF([1]Inputs!$E$755=1,[1]Fuel_Specs!#REF!,[1]Fuel_Specs!#REF!)/((1-$C$43)*(1-$C$15)*[1]Fuel_Specs!$B$20+$C$43*(1-$C$15)*[1]Fuel_Specs!$B$23+$C$15*IF([1]Inputs!$E$755=1,[1]Fuel_Specs!#REF!,[1]Fuel_Specs!#REF!))/[1]Fuel_Specs!$B$167</f>
        <v>#REF!</v>
      </c>
      <c r="CM26" s="27" t="e">
        <f>-(1-[1]Inputs!$Q$382)*([1]Fuel_Specs!$E$32/[1]Fuel_Specs!$B$32*CM4*[1]Fuel_Specs!$F$32)*$C$17*[1]Fuel_Specs!$B$32/((1-$C$44)*(1-$C$17-$C$18)*[1]Fuel_Specs!$B$20+$C$44*(1-$C$17-$C$18)*[1]Fuel_Specs!$B$23+$C$17*[1]Fuel_Specs!$B$32+$C$18*[1]Fuel_Specs!$B$35)/[1]Fuel_Specs!$B$167</f>
        <v>#REF!</v>
      </c>
      <c r="CN26" s="25"/>
      <c r="CO26" s="25"/>
      <c r="CP26" s="25"/>
      <c r="CQ26" s="25"/>
      <c r="CR26" s="26" t="e">
        <f ca="1">CT26+CS26</f>
        <v>#REF!</v>
      </c>
      <c r="CS26" s="25"/>
      <c r="CT26" s="25" t="e">
        <f ca="1">-IF(OR([1]Inputs!$F$168=5,[1]Inputs!$F$168=9),1,IF(AND([1]Inputs!$F$168=10,OR([1]Inputs!$F$167=5,[1]Inputs!$F$167=9)),1,0))*([1]Fuel_Specs!#REF!/[1]Fuel_Specs!#REF!*CT4*[1]Fuel_Specs!#REF!)/[1]Fuel_Specs!$B$167</f>
        <v>#REF!</v>
      </c>
      <c r="CU26" s="27" t="e">
        <f>-IF(OR([1]Inputs!$F$168=5,[1]Inputs!$F$168=9),1,IF(AND([1]Inputs!$F$168=10,OR([1]Inputs!$F$167=5,[1]Inputs!$F$167=9)),1,0))*([1]Fuel_Specs!#REF!/[1]Fuel_Specs!#REF!*CU4*[1]Fuel_Specs!#REF!)/[1]Fuel_Specs!$B$167</f>
        <v>#REF!</v>
      </c>
      <c r="CV26" s="25" t="e">
        <f ca="1">CX26+CW26</f>
        <v>#REF!</v>
      </c>
      <c r="CW26" s="25"/>
      <c r="CX26" s="25" t="e">
        <f ca="1">-IF(OR([1]Inputs!$F$169=5, [1]Inputs!$F$169=11),1,IF([1]Inputs!$F$169=7,[1]MeOH_FTD!$B$37,IF([1]Inputs!$F$169=8,[1]MeOH_FTD!$F$37,0)))*([1]Fuel_Specs!#REF!/[1]Fuel_Specs!#REF!*CX4*[1]Fuel_Specs!#REF!)*$C$13*[1]Fuel_Specs!#REF!/((1-$C$41)*(1-$C$13)*[1]Fuel_Specs!$B$20+$C$41*(1-$C$13)*[1]Fuel_Specs!$B$23+$C$13*[1]Fuel_Specs!#REF!)/[1]Fuel_Specs!$B$167</f>
        <v>#REF!</v>
      </c>
      <c r="CY26" s="25" t="e">
        <f>-IF(OR([1]Inputs!$F$169=5, [1]Inputs!$F$169=11),1,IF([1]Inputs!$F$169=7,[1]MeOH_FTD!$B$37,IF([1]Inputs!$F$169=8,[1]MeOH_FTD!$F$37,0)))*([1]Fuel_Specs!#REF!/[1]Fuel_Specs!#REF!*CY4*[1]Fuel_Specs!#REF!)*$C$13*[1]Fuel_Specs!#REF!/((1-$C$41)*(1-$C$13)*[1]Fuel_Specs!$B$20+$C$41*(1-$C$13)*[1]Fuel_Specs!$B$23+$C$13*[1]Fuel_Specs!#REF!)/[1]Fuel_Specs!$B$167</f>
        <v>#REF!</v>
      </c>
      <c r="CZ26" s="26" t="e">
        <f ca="1">DB26+DA26</f>
        <v>#REF!</v>
      </c>
      <c r="DA26" s="25"/>
      <c r="DB26" s="35" t="e">
        <f ca="1">-([1]Fuel_Specs!#REF!/[1]Fuel_Specs!#REF!*DB4*[1]Fuel_Specs!#REF!)*$C$14*[1]Fuel_Specs!#REF!/((1-$C$42)*(1-$C$14)*[1]Fuel_Specs!$B$20+$C$42*(1-$C$14)*[1]Fuel_Specs!$B$23+$C$14*[1]Fuel_Specs!#REF!)/[1]Fuel_Specs!$B$167*(1-(IF([1]BioOil!$C$7=7,[1]BioOil!$FP$399,IF([1]BioOil!$C$7=6,[1]Algae!$P$466,IF([1]BioOil!$C$7=10,[1]BioOil!$FX$399,IF([1]BioOil!$C$7=11,[1]BioOil!$BW$399,[1]BioOil!$EX$399)))))/[1]Fuel_Specs!$B$31*FuelSpec_MeOH_Density*[1]Fuel_Specs!$F$31/(lb2g*FuelSpec_BD_CContent))</f>
        <v>#REF!</v>
      </c>
      <c r="DC26" s="35" t="e">
        <f>-([1]Fuel_Specs!#REF!/[1]Fuel_Specs!#REF!*DC4*[1]Fuel_Specs!#REF!)*$C$14*[1]Fuel_Specs!#REF!/((1-$C$42)*(1-$C$14)*[1]Fuel_Specs!$B$20+$C$42*(1-$C$14)*[1]Fuel_Specs!$B$23+$C$14*[1]Fuel_Specs!#REF!)/[1]Fuel_Specs!$B$167*(1-(IF([1]BioOil!$C$7=7,[1]BioOil!$FP$399,IF([1]BioOil!$C$7=6,[1]Algae!$P$466,IF([1]BioOil!$C$7=10,[1]BioOil!$FX$399,IF([1]BioOil!$C$7=11,[1]BioOil!$BW$399,[1]BioOil!$EX$399)))))/[1]Fuel_Specs!$B$31*FuelSpec_MeOH_Density*[1]Fuel_Specs!$F$31/(lb2g*FuelSpec_BD_CContent))</f>
        <v>#REF!</v>
      </c>
      <c r="DD26" s="25" t="e">
        <f ca="1">DF26+DE26</f>
        <v>#REF!</v>
      </c>
      <c r="DE26" s="25"/>
      <c r="DF26" s="25" t="e">
        <f ca="1">-(IF([1]Inputs!$E$755=1,[1]Fuel_Specs!#REF!,[1]Fuel_Specs!#REF!)/IF([1]Inputs!$E$755=1,[1]Fuel_Specs!#REF!,[1]Fuel_Specs!#REF!)*DF4*IF([1]Inputs!$E$755=1,[1]Fuel_Specs!#REF!,[1]Fuel_Specs!#REF!))*$C$15*IF([1]Inputs!$E$755=1,[1]Fuel_Specs!#REF!,[1]Fuel_Specs!#REF!)/((1-$C$43)*(1-$C$15)*[1]Fuel_Specs!$B$20+$C$43*(1-$C$15)*[1]Fuel_Specs!$B$23+$C$15*IF([1]Inputs!$E$755=1,[1]Fuel_Specs!#REF!,[1]Fuel_Specs!#REF!))/[1]Fuel_Specs!$B$167</f>
        <v>#REF!</v>
      </c>
      <c r="DG26" s="27" t="e">
        <f>-(IF([1]Inputs!$E$755=1,[1]Fuel_Specs!#REF!,[1]Fuel_Specs!#REF!)/IF([1]Inputs!$E$755=1,[1]Fuel_Specs!#REF!,[1]Fuel_Specs!#REF!)*DG4*IF([1]Inputs!$E$755=1,[1]Fuel_Specs!#REF!,[1]Fuel_Specs!#REF!))*$C$15*IF([1]Inputs!$E$755=1,[1]Fuel_Specs!#REF!,[1]Fuel_Specs!#REF!)/((1-$C$43)*(1-$C$15)*[1]Fuel_Specs!$B$20+$C$43*(1-$C$15)*[1]Fuel_Specs!$B$23+$C$15*IF([1]Inputs!$E$755=1,[1]Fuel_Specs!#REF!,[1]Fuel_Specs!#REF!))/[1]Fuel_Specs!$B$167</f>
        <v>#REF!</v>
      </c>
      <c r="DH26" s="25" t="e">
        <f ca="1">DJ26+DI26</f>
        <v>#REF!</v>
      </c>
      <c r="DI26" s="25"/>
      <c r="DJ26" s="25" t="e">
        <f ca="1">-([1]Fuel_Specs!$E$32/[1]Fuel_Specs!$B$32*DJ4*[1]Fuel_Specs!$F$32)*$C$17*[1]Fuel_Specs!$B$32/((1-$C$44)*(1-$C$17-$C$18)*[1]Fuel_Specs!$B$20+$C$44*(1-$C$17-$C$18)*[1]Fuel_Specs!$B$23+$C$17*[1]Fuel_Specs!$B$32+$C$18*[1]Fuel_Specs!$B$35)/[1]Fuel_Specs!$B$167</f>
        <v>#REF!</v>
      </c>
      <c r="DK26" s="25" t="e">
        <f>-([1]Fuel_Specs!$E$32/[1]Fuel_Specs!$B$32*DK4*[1]Fuel_Specs!$F$32)*$C$17*[1]Fuel_Specs!$B$32/((1-$C$44)*(1-$C$17-$C$18)*[1]Fuel_Specs!$B$20+$C$44*(1-$C$17-$C$18)*[1]Fuel_Specs!$B$23+$C$17*[1]Fuel_Specs!$B$32+$C$18*[1]Fuel_Specs!$B$35)/[1]Fuel_Specs!$B$167</f>
        <v>#REF!</v>
      </c>
      <c r="DL26" s="26"/>
      <c r="DM26" s="25"/>
      <c r="DN26" s="25"/>
      <c r="DO26" s="25" t="e">
        <f>-IF(OR([1]Inputs!$F$167=5,[1]Inputs!$F$167=9),1,0)*[1]Fuel_Specs!$E$31/[1]Fuel_Specs!$B$31*[1]Fuel_Specs!$F$31/[1]Fuel_Specs!$B$167*DO4</f>
        <v>#REF!</v>
      </c>
      <c r="DP26" s="25" t="e">
        <f>-IF([1]Petroleum!$C$10=2,([1]Petroleum!$B$167*[1]Petroleum!$J$188+[1]Petroleum!$C$167*[1]Petroleum!$M$188)*[1]Fuel_Specs!$E$52*[1]Petroleum!$G$159,IF([1]Petroleum!$C$10=4,[1]Fuel_Specs!$E$32*[1]Petroleum!$G$161,0))*[1]Fuel_Specs!$F$32/[1]Fuel_Specs!$B$167/DP3</f>
        <v>#REF!</v>
      </c>
      <c r="DQ26" s="25" t="e">
        <f>-IF([1]Petroleum!$D$10=2, ([1]Petroleum!$B$167*[1]Petroleum!$J$188+[1]Petroleum!$C$167*[1]Petroleum!$M$188)*[1]Fuel_Specs!$E$52*[1]Petroleum!$H$159,IF([1]Petroleum!$D$10=4,[1]Fuel_Specs!$E$32*[1]Petroleum!$H$161,0))*[1]Fuel_Specs!$F$32/[1]Fuel_Specs!$B$167/DQ3</f>
        <v>#REF!</v>
      </c>
      <c r="DR26" s="25"/>
      <c r="DS26" s="25" t="e">
        <f>-(1-[1]Inputs!$Q$382)*([1]Fuel_Specs!$E$32/[1]Fuel_Specs!$B$32*DS4*[1]Fuel_Specs!$F$32)/[1]Fuel_Specs!$B$167</f>
        <v>#REF!</v>
      </c>
      <c r="DT26" s="25">
        <f>IF(NG_CNG_FeedstockShare=4, -([1]Fuel_Specs!$E$81/[1]Fuel_Specs!$B$81*DT4*[1]Fuel_Specs!$F$81)/[1]Fuel_Specs!$B$167, 0)</f>
        <v>0</v>
      </c>
      <c r="DU26" s="25">
        <f>IF(NG_LNG_FeedstockShare=4, -([1]Fuel_Specs!$E$81/[1]Fuel_Specs!$B$81*DU4*[1]Fuel_Specs!$F$81)/[1]Fuel_Specs!$B$167, 0)</f>
        <v>0</v>
      </c>
      <c r="DV26" s="25">
        <f>IF(NG_LPG_FeedstockShare=4, -([1]Fuel_Specs!$E$36/[1]Fuel_Specs!$B$36*DV4*[1]Fuel_Specs!$F$36)/[1]Fuel_Specs!$B$167, 0)*[1]NG!$D$5</f>
        <v>0</v>
      </c>
      <c r="DW26" s="27"/>
      <c r="DX26" s="25"/>
      <c r="DY26" s="25"/>
      <c r="DZ26" s="25"/>
      <c r="EA26" s="27"/>
      <c r="EB26" s="27"/>
      <c r="EC26" s="25" t="e">
        <f>-([1]Fuel_Specs!#REF!/[1]Fuel_Specs!#REF!)*EC4*[1]Fuel_Specs!#REF!*$C$20*[1]Fuel_Specs!#REF!/((1-$C$45)*(1-$C$20)*[1]Fuel_Specs!$B$15+$C$45*(1-$C$20)*[1]Fuel_Specs!$B$16+$C$20*[1]Fuel_Specs!#REF!)/[1]Fuel_Specs!$B$167</f>
        <v>#REF!</v>
      </c>
      <c r="ED26" s="27" t="e">
        <f>-([1]Fuel_Specs!#REF!/[1]Fuel_Specs!#REF!)*ED4*[1]Fuel_Specs!#REF!*$C$21*[1]Fuel_Specs!#REF!/((1-$C$46)*(1-$C$21)*[1]Fuel_Specs!$B$15+$C$46*(1-$C$21)*[1]Fuel_Specs!$B$16+$C$21*[1]Fuel_Specs!#REF!)/[1]Fuel_Specs!$B$167</f>
        <v>#REF!</v>
      </c>
      <c r="EE26" s="36" t="e">
        <f>-([1]Fuel_Specs!#REF!/[1]Fuel_Specs!#REF!)*EE4*[1]Fuel_Specs!#REF!*$C$22*[1]Fuel_Specs!#REF!/((1-$C$47)*(1-$C$22)*[1]Fuel_Specs!$B$15+$C$47*(1-$C$22)*[1]Fuel_Specs!$B$16+$C$22*[1]Fuel_Specs!#REF!)/[1]Fuel_Specs!$B$167</f>
        <v>#REF!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Waghmare</dc:creator>
  <cp:lastModifiedBy>Aditya Waghmare</cp:lastModifiedBy>
  <dcterms:created xsi:type="dcterms:W3CDTF">2026-02-25T05:42:31Z</dcterms:created>
  <dcterms:modified xsi:type="dcterms:W3CDTF">2026-02-25T05:42:53Z</dcterms:modified>
</cp:coreProperties>
</file>